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6.png" ContentType="image/png"/>
  <Override PartName="/xl/media/image2.jpeg" ContentType="image/jpeg"/>
  <Override PartName="/xl/media/image4.png" ContentType="image/png"/>
  <Override PartName="/xl/media/image3.jpeg" ContentType="image/jpeg"/>
  <Override PartName="/xl/media/image5.jpeg" ContentType="image/jpeg"/>
  <Override PartName="/xl/media/image10.jpeg" ContentType="image/jpeg"/>
  <Override PartName="/xl/media/image7.png" ContentType="image/png"/>
  <Override PartName="/xl/media/image11.png" ContentType="image/png"/>
  <Override PartName="/xl/media/image8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ty Bank" sheetId="1" state="visible" r:id="rId3"/>
    <sheet name="IFIC Bank" sheetId="2" state="visible" r:id="rId4"/>
    <sheet name="Bank Asia Ltd" sheetId="3" state="visible" r:id="rId5"/>
    <sheet name="BRAC Bank Ltd" sheetId="4" state="visible" r:id="rId6"/>
    <sheet name="Dutch-Bangla Bank PLC" sheetId="5" state="visible" r:id="rId7"/>
    <sheet name="Eastern Bank Ltd" sheetId="6" state="visible" r:id="rId8"/>
    <sheet name="Mutual Trust Bank" sheetId="7" state="visible" r:id="rId9"/>
    <sheet name="Prime Bank PLC" sheetId="8" state="visible" r:id="rId10"/>
    <sheet name="Mercantile Bank Ltd" sheetId="9" state="visible" r:id="rId11"/>
    <sheet name="Southeast Bank PLC" sheetId="10" state="visible" r:id="rId12"/>
    <sheet name="Pubali Bank PLC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<sst xmlns="http://schemas.openxmlformats.org/spreadsheetml/2006/main" count="812" uniqueCount="76">
  <si>
    <t xml:space="preserve">City Bank PLC — Financial Dataset (2025- 2015)</t>
  </si>
  <si>
    <t xml:space="preserve">Summery </t>
  </si>
  <si>
    <t xml:space="preserve">Mean ROE % (2015-2025)</t>
  </si>
  <si>
    <t xml:space="preserve">Std Dev ROE % (2015-2025)</t>
  </si>
  <si>
    <t xml:space="preserve">Sharpe-like ratio (rf=3%, full period)</t>
  </si>
  <si>
    <t xml:space="preserve">Rolling mean ROE % (2019-2024 window)</t>
  </si>
  <si>
    <t xml:space="preserve">Rolling std dev ROE % (2019-2024)</t>
  </si>
  <si>
    <t xml:space="preserve">Rolling Sharpe-like ratio (2019-2024)</t>
  </si>
  <si>
    <t xml:space="preserve">Equity CAGR % (2015-2025)</t>
  </si>
  <si>
    <t xml:space="preserve">Max drawdown in NPAT %, 2015-2025 (peak-to-trough)</t>
  </si>
  <si>
    <t xml:space="preserve">Newey-West (HAC) trend regression: NPL% vs year, slope</t>
  </si>
  <si>
    <t xml:space="preserve">Metric</t>
  </si>
  <si>
    <t xml:space="preserve">Unit</t>
  </si>
  <si>
    <t xml:space="preserve">BALANCE SHEET</t>
  </si>
  <si>
    <t xml:space="preserve">Total Assets</t>
  </si>
  <si>
    <t xml:space="preserve">Tk mn</t>
  </si>
  <si>
    <t xml:space="preserve">Loans &amp; Advances, gross</t>
  </si>
  <si>
    <t xml:space="preserve">Total Deposits</t>
  </si>
  <si>
    <t xml:space="preserve">Shareholders' Equity</t>
  </si>
  <si>
    <t xml:space="preserve">INCOME STATEMENT</t>
  </si>
  <si>
    <t xml:space="preserve">Net Interest Income</t>
  </si>
  <si>
    <t xml:space="preserve">Non-Interest Income</t>
  </si>
  <si>
    <t xml:space="preserve">Net Profit After Tax</t>
  </si>
  <si>
    <t xml:space="preserve">PER-SHARE &amp; PROFITABILITY</t>
  </si>
  <si>
    <t xml:space="preserve">EPS</t>
  </si>
  <si>
    <t xml:space="preserve">BDT</t>
  </si>
  <si>
    <t xml:space="preserve">ROA %</t>
  </si>
  <si>
    <t xml:space="preserve">%</t>
  </si>
  <si>
    <t xml:space="preserve">ROE %</t>
  </si>
  <si>
    <t xml:space="preserve">ASSET QUALITY</t>
  </si>
  <si>
    <t xml:space="preserve">NPL % (gross)</t>
  </si>
  <si>
    <t xml:space="preserve">NPL amount</t>
  </si>
  <si>
    <t xml:space="preserve">Provision Coverage %</t>
  </si>
  <si>
    <t xml:space="preserve">Loan-Deposit Ratio %</t>
  </si>
  <si>
    <t xml:space="preserve">CAPITAL &amp; EFFICIENCY</t>
  </si>
  <si>
    <t xml:space="preserve">Capital Adequacy Ratio %</t>
  </si>
  <si>
    <t xml:space="preserve">Cost-to-Income Ratio %</t>
  </si>
  <si>
    <t xml:space="preserve">DERIVED METRICS (formulas)</t>
  </si>
  <si>
    <t xml:space="preserve">NPL / Total Assets %</t>
  </si>
  <si>
    <t xml:space="preserve">YoY NPAT growth %</t>
  </si>
  <si>
    <t xml:space="preserve">YoY Total Assets growth %</t>
  </si>
  <si>
    <t xml:space="preserve">IFIC Bank PLC — Financial Dataset (2025 -2015)</t>
  </si>
  <si>
    <t xml:space="preserve">Loans &amp; Advances</t>
  </si>
  <si>
    <t xml:space="preserve">CRAR % (Group)</t>
  </si>
  <si>
    <t xml:space="preserve">Cost-to-Income Ratio % (Group)</t>
  </si>
  <si>
    <t xml:space="preserve">DERIVED METRICS </t>
  </si>
  <si>
    <t xml:space="preserve">Estimated NPL amount (NPL% x Loans)</t>
  </si>
  <si>
    <t xml:space="preserve">NPL / Total Assets % (estimated)</t>
  </si>
  <si>
    <t xml:space="preserve">YoY Equity growth %</t>
  </si>
  <si>
    <t xml:space="preserve">Bank Asia PLC  — Financial Dataset (2025 -2015)</t>
  </si>
  <si>
    <t xml:space="preserve">N/A</t>
  </si>
  <si>
    <t xml:space="preserve">80.31%*</t>
  </si>
  <si>
    <t xml:space="preserve">DERIVED METRICS</t>
  </si>
  <si>
    <t xml:space="preserve">Brac Bank LTD  — Financial Dataset (2025 -2015)</t>
  </si>
  <si>
    <t xml:space="preserve">Dutch Banlga Bank Ltd— Financial Dataset (2025 -2015)</t>
  </si>
  <si>
    <t xml:space="preserve">BALANCE SHEET (mn Taka)</t>
  </si>
  <si>
    <t xml:space="preserve">INCOME STATEMENT (mn Taka)</t>
  </si>
  <si>
    <t xml:space="preserve">EPS (Taka)</t>
  </si>
  <si>
    <t xml:space="preserve">Estimated NPL amount</t>
  </si>
  <si>
    <t xml:space="preserve">Eastern bank PLC  — Financial Dataset (2025 -2015)</t>
  </si>
  <si>
    <t xml:space="preserve">N/A⁴</t>
  </si>
  <si>
    <t xml:space="preserve">MTB-— Financial Dataset (2025 -2015)</t>
  </si>
  <si>
    <t xml:space="preserve">165,370†</t>
  </si>
  <si>
    <t xml:space="preserve">114,356†</t>
  </si>
  <si>
    <t xml:space="preserve">131,272†</t>
  </si>
  <si>
    <t xml:space="preserve">N/A‡</t>
  </si>
  <si>
    <t xml:space="preserve">n/a*</t>
  </si>
  <si>
    <t xml:space="preserve">Prime Bank PLC — Financial Dataset (2025 -2015)</t>
  </si>
  <si>
    <t xml:space="preserve">n/a</t>
  </si>
  <si>
    <t xml:space="preserve">Mercantile Bank PLC — Financial Dataset (2025 -2015)</t>
  </si>
  <si>
    <t xml:space="preserve">BALANCE SHEET (BDT million)</t>
  </si>
  <si>
    <t xml:space="preserve">INCOME STATEMENT (BDT million)</t>
  </si>
  <si>
    <t xml:space="preserve">South East Bank PLC — Financial Dataset (2025 -2015)</t>
  </si>
  <si>
    <t xml:space="preserve">−20.00%</t>
  </si>
  <si>
    <t xml:space="preserve">Pubali Bank PLC — Financial Dataset (2025 -2015)</t>
  </si>
  <si>
    <t xml:space="preserve">N/M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</si>
</sst>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0.0%"/>
    <numFmt numFmtId="167" formatCode="0.0"/>
    <numFmt numFmtId="168" formatCode="0.000"/>
    <numFmt numFmtId="169" formatCode="#,##0"/>
    <numFmt numFmtId="170" formatCode="#,##0.0"/>
    <numFmt numFmtId="171" formatCode="0.00%"/>
    <numFmt numFmtId="172" formatCode="0%"/>
    <numFmt numFmtId="173" formatCode="#,##0.00"/>
  </numFmts>
  <fonts count="4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5"/>
      <color theme="1"/>
      <name val="Arial"/>
      <family val="0"/>
      <charset val="1"/>
    </font>
    <font>
      <b val="true"/>
      <sz val="13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1"/>
      <color theme="1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4"/>
      <color theme="1"/>
      <name val="Arial"/>
      <family val="0"/>
      <charset val="1"/>
    </font>
    <font>
      <b val="true"/>
      <sz val="15"/>
      <color theme="1"/>
      <name val="Calibri"/>
      <family val="0"/>
      <charset val="1"/>
    </font>
    <font>
      <b val="true"/>
      <sz val="13"/>
      <color rgb="FFFFFF00"/>
      <name val="Arial"/>
      <family val="0"/>
      <charset val="1"/>
    </font>
    <font>
      <b val="true"/>
      <sz val="11"/>
      <color rgb="FFFFFF00"/>
      <name val="Arial"/>
      <family val="0"/>
      <charset val="1"/>
    </font>
    <font>
      <b val="true"/>
      <sz val="10"/>
      <color rgb="FFFFFF00"/>
      <name val="Arial"/>
      <family val="0"/>
      <charset val="1"/>
    </font>
    <font>
      <sz val="11"/>
      <color rgb="FFFFFFFF"/>
      <name val="Calibri"/>
      <family val="0"/>
      <charset val="1"/>
    </font>
    <font>
      <sz val="10"/>
      <color rgb="FFFFFFFF"/>
      <name val="Calibri"/>
      <family val="0"/>
      <charset val="1"/>
    </font>
    <font>
      <b val="true"/>
      <sz val="13"/>
      <color rgb="FF073763"/>
      <name val="Arial"/>
      <family val="0"/>
      <charset val="1"/>
    </font>
    <font>
      <b val="true"/>
      <sz val="11"/>
      <color rgb="FF1155CC"/>
      <name val="Arial"/>
      <family val="0"/>
      <charset val="1"/>
    </font>
    <font>
      <b val="true"/>
      <sz val="10"/>
      <color rgb="FF1155CC"/>
      <name val="Arial"/>
      <family val="0"/>
      <charset val="1"/>
    </font>
    <font>
      <sz val="11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3"/>
      <color rgb="FFF4CCCC"/>
      <name val="Arial"/>
      <family val="0"/>
      <charset val="1"/>
    </font>
    <font>
      <b val="true"/>
      <sz val="11"/>
      <color rgb="FFF4CCCC"/>
      <name val="Arial"/>
      <family val="0"/>
      <charset val="1"/>
    </font>
    <font>
      <b val="true"/>
      <sz val="10"/>
      <color rgb="FFF4CCCC"/>
      <name val="Arial"/>
      <family val="0"/>
      <charset val="1"/>
    </font>
    <font>
      <b val="true"/>
      <sz val="10"/>
      <color rgb="FF98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434343"/>
      <name val="Arial"/>
      <family val="0"/>
      <charset val="1"/>
    </font>
    <font>
      <b val="true"/>
      <sz val="11"/>
      <color rgb="FF434343"/>
      <name val="Arial"/>
      <family val="0"/>
      <charset val="1"/>
    </font>
    <font>
      <b val="true"/>
      <sz val="10"/>
      <color rgb="FF43434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3"/>
      <color rgb="FF274E13"/>
      <name val="Arial"/>
      <family val="0"/>
      <charset val="1"/>
    </font>
    <font>
      <b val="true"/>
      <sz val="11"/>
      <color rgb="FF274E13"/>
      <name val="Arial"/>
      <family val="0"/>
      <charset val="1"/>
    </font>
    <font>
      <b val="true"/>
      <sz val="10"/>
      <color rgb="FF274E13"/>
      <name val="Arial"/>
      <family val="0"/>
      <charset val="1"/>
    </font>
    <font>
      <sz val="11"/>
      <color rgb="FF1155CC"/>
      <name val="Calibri"/>
      <family val="0"/>
      <charset val="1"/>
    </font>
    <font>
      <sz val="10"/>
      <color rgb="FF1155CC"/>
      <name val="Calibri"/>
      <family val="0"/>
      <charset val="1"/>
    </font>
    <font>
      <b val="true"/>
      <sz val="10"/>
      <color rgb="FF741B47"/>
      <name val="Arial"/>
      <family val="0"/>
      <charset val="1"/>
    </font>
    <font>
      <sz val="11"/>
      <color rgb="FF741B47"/>
      <name val="Calibri"/>
      <family val="0"/>
      <charset val="1"/>
    </font>
    <font>
      <sz val="10"/>
      <color rgb="FF741B47"/>
      <name val="Calibri"/>
      <family val="0"/>
      <charset val="1"/>
    </font>
    <font>
      <sz val="11"/>
      <color rgb="FF274E13"/>
      <name val="Calibri"/>
      <family val="0"/>
      <charset val="1"/>
    </font>
    <font>
      <sz val="10"/>
      <color rgb="FF274E13"/>
      <name val="Calibri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DD7E6B"/>
        <bgColor rgb="FFEA9999"/>
      </patternFill>
    </fill>
    <fill>
      <patternFill patternType="solid">
        <fgColor rgb="FF980000"/>
        <bgColor rgb="FFB00000"/>
      </patternFill>
    </fill>
    <fill>
      <patternFill patternType="solid">
        <fgColor rgb="FFFFFFFF"/>
        <bgColor rgb="FFD9EAD3"/>
      </patternFill>
    </fill>
    <fill>
      <patternFill patternType="solid">
        <fgColor rgb="FFFF0000"/>
        <bgColor rgb="FFCC0000"/>
      </patternFill>
    </fill>
    <fill>
      <patternFill patternType="solid">
        <fgColor rgb="FFF3D9DC"/>
        <bgColor rgb="FFECD9DC"/>
      </patternFill>
    </fill>
    <fill>
      <patternFill patternType="solid">
        <fgColor rgb="FFECD9DC"/>
        <bgColor rgb="FFF3D9DC"/>
      </patternFill>
    </fill>
    <fill>
      <patternFill patternType="solid">
        <fgColor rgb="FF5378D5"/>
        <bgColor rgb="FF3C78D8"/>
      </patternFill>
    </fill>
    <fill>
      <patternFill patternType="solid">
        <fgColor rgb="FF3C78D8"/>
        <bgColor rgb="FF5378D5"/>
      </patternFill>
    </fill>
    <fill>
      <patternFill patternType="solid">
        <fgColor rgb="FFC9DAF8"/>
        <bgColor rgb="FFD0E0E3"/>
      </patternFill>
    </fill>
    <fill>
      <patternFill patternType="solid">
        <fgColor rgb="FFD0E0E3"/>
        <bgColor rgb="FFC9DAF8"/>
      </patternFill>
    </fill>
    <fill>
      <patternFill patternType="solid">
        <fgColor rgb="FFD9EAD3"/>
        <bgColor rgb="FFD0E0E3"/>
      </patternFill>
    </fill>
    <fill>
      <patternFill patternType="solid">
        <fgColor rgb="FFB00000"/>
        <bgColor rgb="FF980000"/>
      </patternFill>
    </fill>
    <fill>
      <patternFill patternType="solid">
        <fgColor rgb="FFCC0000"/>
        <bgColor rgb="FFB00000"/>
      </patternFill>
    </fill>
    <fill>
      <patternFill patternType="solid">
        <fgColor rgb="FF999999"/>
        <bgColor rgb="FFBFBFBF"/>
      </patternFill>
    </fill>
    <fill>
      <patternFill patternType="solid">
        <fgColor rgb="FFFFFF39"/>
        <bgColor rgb="FFFFFF00"/>
      </patternFill>
    </fill>
    <fill>
      <patternFill patternType="solid">
        <fgColor rgb="FFFFFF00"/>
        <bgColor rgb="FFFFFF39"/>
      </patternFill>
    </fill>
    <fill>
      <patternFill patternType="solid">
        <fgColor rgb="FFFFE599"/>
        <bgColor rgb="FFF3D9DC"/>
      </patternFill>
    </fill>
    <fill>
      <patternFill patternType="solid">
        <fgColor rgb="FF38761D"/>
        <bgColor rgb="FF274E13"/>
      </patternFill>
    </fill>
    <fill>
      <patternFill patternType="solid">
        <fgColor rgb="FFB6D7A8"/>
        <bgColor rgb="FFBFBFBF"/>
      </patternFill>
    </fill>
    <fill>
      <patternFill patternType="solid">
        <fgColor rgb="FFABC5E7"/>
        <bgColor rgb="FFA4C2F4"/>
      </patternFill>
    </fill>
    <fill>
      <patternFill patternType="solid">
        <fgColor rgb="FF9FC5E8"/>
        <bgColor rgb="FFA4C2F4"/>
      </patternFill>
    </fill>
    <fill>
      <patternFill patternType="solid">
        <fgColor rgb="FFEA9999"/>
        <bgColor rgb="FFDD7E6B"/>
      </patternFill>
    </fill>
    <fill>
      <patternFill patternType="solid">
        <fgColor rgb="FF4C1130"/>
        <bgColor rgb="FF741B47"/>
      </patternFill>
    </fill>
    <fill>
      <patternFill patternType="solid">
        <fgColor rgb="FF741B47"/>
        <bgColor rgb="FF4C1130"/>
      </patternFill>
    </fill>
    <fill>
      <patternFill patternType="solid">
        <fgColor rgb="FFA4C2F4"/>
        <bgColor rgb="FF9FC5E8"/>
      </patternFill>
    </fill>
    <fill>
      <patternFill patternType="solid">
        <fgColor rgb="FF274E13"/>
        <bgColor rgb="FF434343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/>
      <right/>
      <top style="thin">
        <color rgb="FFBFBFBF"/>
      </top>
      <bottom/>
      <diagonal/>
    </border>
    <border diagonalUp="false" diagonalDown="false">
      <left/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/>
      <top/>
      <bottom/>
      <diagonal/>
    </border>
    <border diagonalUp="false" diagonalDown="false">
      <left/>
      <right style="thin">
        <color rgb="FFBFBFBF"/>
      </right>
      <top/>
      <bottom/>
      <diagonal/>
    </border>
    <border diagonalUp="false" diagonalDown="false">
      <left style="thin">
        <color rgb="FFBFBFBF"/>
      </left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 style="thin">
        <color rgb="FFBFBFBF"/>
      </right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1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1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1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1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1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1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1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1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1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1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2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2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2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2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2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2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2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2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2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2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2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7" fillId="2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2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2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2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2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2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2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2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2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41" fillId="2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1" fillId="2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2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2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2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2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44" fillId="2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4" fillId="2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2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2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6" fillId="2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6" fillId="2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2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38761D"/>
      <rgbColor rgb="FF000080"/>
      <rgbColor rgb="FF808000"/>
      <rgbColor rgb="FF4C1130"/>
      <rgbColor rgb="FF008080"/>
      <rgbColor rgb="FFBFBFBF"/>
      <rgbColor rgb="FF5378D5"/>
      <rgbColor rgb="FFA4C2F4"/>
      <rgbColor rgb="FF993366"/>
      <rgbColor rgb="FFF3D9DC"/>
      <rgbColor rgb="FFD0E0E3"/>
      <rgbColor rgb="FF741B47"/>
      <rgbColor rgb="FFDD7E6B"/>
      <rgbColor rgb="FF1155CC"/>
      <rgbColor rgb="FFC9DAF8"/>
      <rgbColor rgb="FF000080"/>
      <rgbColor rgb="FFFF00FF"/>
      <rgbColor rgb="FFFFFF39"/>
      <rgbColor rgb="FF00FFFF"/>
      <rgbColor rgb="FF800080"/>
      <rgbColor rgb="FFB00000"/>
      <rgbColor rgb="FF008080"/>
      <rgbColor rgb="FF0000FF"/>
      <rgbColor rgb="FF00CCFF"/>
      <rgbColor rgb="FFECD9DC"/>
      <rgbColor rgb="FFD9EAD3"/>
      <rgbColor rgb="FFFFE599"/>
      <rgbColor rgb="FF9FC5E8"/>
      <rgbColor rgb="FFEA9999"/>
      <rgbColor rgb="FFABC5E7"/>
      <rgbColor rgb="FFF4CCCC"/>
      <rgbColor rgb="FF3C78D8"/>
      <rgbColor rgb="FF33CCCC"/>
      <rgbColor rgb="FFB6D7A8"/>
      <rgbColor rgb="FFFFCC00"/>
      <rgbColor rgb="FFFF9900"/>
      <rgbColor rgb="FFFF6600"/>
      <rgbColor rgb="FF666666"/>
      <rgbColor rgb="FF999999"/>
      <rgbColor rgb="FF073763"/>
      <rgbColor rgb="FF339966"/>
      <rgbColor rgb="FF003300"/>
      <rgbColor rgb="FF274E13"/>
      <rgbColor rgb="FFCC00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jpe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0.jpe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145440</xdr:rowOff>
    </xdr:from>
    <xdr:to>
      <xdr:col>0</xdr:col>
      <xdr:colOff>323640</xdr:colOff>
      <xdr:row>3</xdr:row>
      <xdr:rowOff>130680</xdr:rowOff>
    </xdr:to>
    <xdr:pic>
      <xdr:nvPicPr>
        <xdr:cNvPr id="0" name="image11.jpg" descr=""/>
        <xdr:cNvPicPr/>
      </xdr:nvPicPr>
      <xdr:blipFill>
        <a:blip r:embed="rId1"/>
        <a:stretch/>
      </xdr:blipFill>
      <xdr:spPr>
        <a:xfrm>
          <a:off x="0" y="571680"/>
          <a:ext cx="323640" cy="190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190440</xdr:rowOff>
    </xdr:from>
    <xdr:to>
      <xdr:col>0</xdr:col>
      <xdr:colOff>323640</xdr:colOff>
      <xdr:row>2</xdr:row>
      <xdr:rowOff>144720</xdr:rowOff>
    </xdr:to>
    <xdr:pic>
      <xdr:nvPicPr>
        <xdr:cNvPr id="1" name="image2.jpg" descr=""/>
        <xdr:cNvPicPr/>
      </xdr:nvPicPr>
      <xdr:blipFill>
        <a:blip r:embed="rId1"/>
        <a:stretch/>
      </xdr:blipFill>
      <xdr:spPr>
        <a:xfrm>
          <a:off x="0" y="380880"/>
          <a:ext cx="323640" cy="190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190440</xdr:rowOff>
    </xdr:from>
    <xdr:to>
      <xdr:col>0</xdr:col>
      <xdr:colOff>533160</xdr:colOff>
      <xdr:row>2</xdr:row>
      <xdr:rowOff>144720</xdr:rowOff>
    </xdr:to>
    <xdr:pic>
      <xdr:nvPicPr>
        <xdr:cNvPr id="2" name="image3.jpg" descr=""/>
        <xdr:cNvPicPr/>
      </xdr:nvPicPr>
      <xdr:blipFill>
        <a:blip r:embed="rId1"/>
        <a:stretch/>
      </xdr:blipFill>
      <xdr:spPr>
        <a:xfrm>
          <a:off x="0" y="380880"/>
          <a:ext cx="533160" cy="190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190800</xdr:rowOff>
    </xdr:from>
    <xdr:to>
      <xdr:col>0</xdr:col>
      <xdr:colOff>190080</xdr:colOff>
      <xdr:row>3</xdr:row>
      <xdr:rowOff>145080</xdr:rowOff>
    </xdr:to>
    <xdr:pic>
      <xdr:nvPicPr>
        <xdr:cNvPr id="3" name="image1.png" descr=""/>
        <xdr:cNvPicPr/>
      </xdr:nvPicPr>
      <xdr:blipFill>
        <a:blip r:embed="rId1"/>
        <a:stretch/>
      </xdr:blipFill>
      <xdr:spPr>
        <a:xfrm>
          <a:off x="0" y="571680"/>
          <a:ext cx="190080" cy="190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190440</xdr:rowOff>
    </xdr:from>
    <xdr:to>
      <xdr:col>0</xdr:col>
      <xdr:colOff>190080</xdr:colOff>
      <xdr:row>2</xdr:row>
      <xdr:rowOff>144720</xdr:rowOff>
    </xdr:to>
    <xdr:pic>
      <xdr:nvPicPr>
        <xdr:cNvPr id="4" name="image6.jpg" descr=""/>
        <xdr:cNvPicPr/>
      </xdr:nvPicPr>
      <xdr:blipFill>
        <a:blip r:embed="rId1"/>
        <a:stretch/>
      </xdr:blipFill>
      <xdr:spPr>
        <a:xfrm>
          <a:off x="0" y="380880"/>
          <a:ext cx="190080" cy="190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190440</xdr:rowOff>
    </xdr:from>
    <xdr:to>
      <xdr:col>0</xdr:col>
      <xdr:colOff>190080</xdr:colOff>
      <xdr:row>2</xdr:row>
      <xdr:rowOff>144720</xdr:rowOff>
    </xdr:to>
    <xdr:pic>
      <xdr:nvPicPr>
        <xdr:cNvPr id="5" name="image4.png" descr=""/>
        <xdr:cNvPicPr/>
      </xdr:nvPicPr>
      <xdr:blipFill>
        <a:blip r:embed="rId1"/>
        <a:stretch/>
      </xdr:blipFill>
      <xdr:spPr>
        <a:xfrm>
          <a:off x="0" y="380880"/>
          <a:ext cx="190080" cy="190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0</xdr:col>
      <xdr:colOff>190080</xdr:colOff>
      <xdr:row>2</xdr:row>
      <xdr:rowOff>190080</xdr:rowOff>
    </xdr:to>
    <xdr:pic>
      <xdr:nvPicPr>
        <xdr:cNvPr id="6" name="image7.png" descr=""/>
        <xdr:cNvPicPr/>
      </xdr:nvPicPr>
      <xdr:blipFill>
        <a:blip r:embed="rId1"/>
        <a:stretch/>
      </xdr:blipFill>
      <xdr:spPr>
        <a:xfrm>
          <a:off x="0" y="380880"/>
          <a:ext cx="190080" cy="190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190440</xdr:rowOff>
    </xdr:from>
    <xdr:to>
      <xdr:col>0</xdr:col>
      <xdr:colOff>361440</xdr:colOff>
      <xdr:row>2</xdr:row>
      <xdr:rowOff>144720</xdr:rowOff>
    </xdr:to>
    <xdr:pic>
      <xdr:nvPicPr>
        <xdr:cNvPr id="7" name="image8.png" descr=""/>
        <xdr:cNvPicPr/>
      </xdr:nvPicPr>
      <xdr:blipFill>
        <a:blip r:embed="rId1"/>
        <a:stretch/>
      </xdr:blipFill>
      <xdr:spPr>
        <a:xfrm>
          <a:off x="0" y="380880"/>
          <a:ext cx="361440" cy="190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190440</xdr:rowOff>
    </xdr:from>
    <xdr:to>
      <xdr:col>0</xdr:col>
      <xdr:colOff>190080</xdr:colOff>
      <xdr:row>2</xdr:row>
      <xdr:rowOff>144720</xdr:rowOff>
    </xdr:to>
    <xdr:pic>
      <xdr:nvPicPr>
        <xdr:cNvPr id="8" name="image5.png" descr=""/>
        <xdr:cNvPicPr/>
      </xdr:nvPicPr>
      <xdr:blipFill>
        <a:blip r:embed="rId1"/>
        <a:stretch/>
      </xdr:blipFill>
      <xdr:spPr>
        <a:xfrm>
          <a:off x="0" y="380880"/>
          <a:ext cx="190080" cy="190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190440</xdr:rowOff>
    </xdr:from>
    <xdr:to>
      <xdr:col>0</xdr:col>
      <xdr:colOff>190080</xdr:colOff>
      <xdr:row>2</xdr:row>
      <xdr:rowOff>144720</xdr:rowOff>
    </xdr:to>
    <xdr:pic>
      <xdr:nvPicPr>
        <xdr:cNvPr id="9" name="image10.jpg" descr=""/>
        <xdr:cNvPicPr/>
      </xdr:nvPicPr>
      <xdr:blipFill>
        <a:blip r:embed="rId1"/>
        <a:stretch/>
      </xdr:blipFill>
      <xdr:spPr>
        <a:xfrm>
          <a:off x="0" y="380880"/>
          <a:ext cx="190080" cy="190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190800</xdr:rowOff>
    </xdr:from>
    <xdr:to>
      <xdr:col>0</xdr:col>
      <xdr:colOff>190080</xdr:colOff>
      <xdr:row>3</xdr:row>
      <xdr:rowOff>145080</xdr:rowOff>
    </xdr:to>
    <xdr:pic>
      <xdr:nvPicPr>
        <xdr:cNvPr id="10" name="image9.png" descr=""/>
        <xdr:cNvPicPr/>
      </xdr:nvPicPr>
      <xdr:blipFill>
        <a:blip r:embed="rId1"/>
        <a:stretch/>
      </xdr:blipFill>
      <xdr:spPr>
        <a:xfrm>
          <a:off x="0" y="571680"/>
          <a:ext cx="190080" cy="190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53"/>
    <col collapsed="false" customWidth="true" hidden="false" outlineLevel="0" max="2" min="2" style="0" width="9"/>
    <col collapsed="false" customWidth="true" hidden="false" outlineLevel="0" max="13" min="3" style="0" width="11"/>
    <col collapsed="false" customWidth="true" hidden="false" outlineLevel="0" max="26" min="14" style="0" width="8.7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.55" hidden="false" customHeight="fals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6.15" hidden="false" customHeight="fals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false" outlineLevel="0" collapsed="false">
      <c r="A4" s="4"/>
      <c r="B4" s="5" t="s">
        <v>2</v>
      </c>
      <c r="C4" s="5"/>
      <c r="D4" s="5"/>
      <c r="E4" s="5"/>
      <c r="F4" s="5"/>
      <c r="G4" s="5"/>
      <c r="H4" s="6" t="n">
        <f aca="false">AVERAGE(C27:M27)</f>
        <v>16.7272727272727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false" outlineLevel="0" collapsed="false">
      <c r="A5" s="4"/>
      <c r="B5" s="5" t="s">
        <v>3</v>
      </c>
      <c r="C5" s="5"/>
      <c r="D5" s="5"/>
      <c r="E5" s="5"/>
      <c r="F5" s="5"/>
      <c r="G5" s="5"/>
      <c r="H5" s="6" t="n">
        <f aca="false">STDEV(C27:M27)</f>
        <v>5.33612048385171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4"/>
      <c r="B6" s="5" t="s">
        <v>4</v>
      </c>
      <c r="C6" s="5"/>
      <c r="D6" s="5"/>
      <c r="E6" s="5"/>
      <c r="F6" s="5"/>
      <c r="G6" s="5"/>
      <c r="H6" s="6" t="n">
        <f aca="false">(H4-3)/H5</f>
        <v>2.57251926166482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false" outlineLevel="0" collapsed="false">
      <c r="A7" s="4"/>
      <c r="B7" s="5" t="s">
        <v>5</v>
      </c>
      <c r="C7" s="5"/>
      <c r="D7" s="5"/>
      <c r="E7" s="5"/>
      <c r="F7" s="5"/>
      <c r="G7" s="5"/>
      <c r="H7" s="6" t="n">
        <f aca="false">AVERAGE(D27:I27)</f>
        <v>16.3666666666667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false" outlineLevel="0" collapsed="false">
      <c r="A8" s="4"/>
      <c r="B8" s="5" t="s">
        <v>6</v>
      </c>
      <c r="C8" s="5"/>
      <c r="D8" s="5"/>
      <c r="E8" s="5"/>
      <c r="F8" s="5"/>
      <c r="G8" s="5"/>
      <c r="H8" s="6" t="n">
        <f aca="false">STDEV(D27:I27)</f>
        <v>5.36755686198727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false" outlineLevel="0" collapsed="false">
      <c r="A9" s="4"/>
      <c r="B9" s="5" t="s">
        <v>7</v>
      </c>
      <c r="C9" s="5"/>
      <c r="D9" s="5"/>
      <c r="E9" s="5"/>
      <c r="F9" s="5"/>
      <c r="G9" s="5"/>
      <c r="H9" s="6" t="n">
        <f aca="false">(H7-3)/H8</f>
        <v>2.49027015648938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false" outlineLevel="0" collapsed="false">
      <c r="A10" s="4"/>
      <c r="B10" s="5" t="s">
        <v>8</v>
      </c>
      <c r="C10" s="5"/>
      <c r="D10" s="5"/>
      <c r="E10" s="5"/>
      <c r="F10" s="5"/>
      <c r="G10" s="5"/>
      <c r="H10" s="7" t="n">
        <f aca="false">(C19/M19)^(1/10)-1</f>
        <v>0.113298691402603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false" outlineLevel="0" collapsed="false">
      <c r="B11" s="5" t="s">
        <v>9</v>
      </c>
      <c r="C11" s="5"/>
      <c r="D11" s="5"/>
      <c r="E11" s="5"/>
      <c r="F11" s="5"/>
      <c r="G11" s="5"/>
      <c r="H11" s="8" t="n">
        <v>-49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false" outlineLevel="0" collapsed="false">
      <c r="A12" s="1"/>
      <c r="B12" s="5" t="s">
        <v>10</v>
      </c>
      <c r="C12" s="5"/>
      <c r="D12" s="5"/>
      <c r="E12" s="5"/>
      <c r="F12" s="5"/>
      <c r="G12" s="5"/>
      <c r="H12" s="9" t="n">
        <v>-0.398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false" outlineLevel="0" collapsed="false">
      <c r="A13" s="10"/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false" outlineLevel="0" collapsed="false">
      <c r="A14" s="12" t="s">
        <v>11</v>
      </c>
      <c r="B14" s="12" t="s">
        <v>12</v>
      </c>
      <c r="C14" s="13" t="n">
        <v>2025</v>
      </c>
      <c r="D14" s="14" t="n">
        <v>2024</v>
      </c>
      <c r="E14" s="14" t="n">
        <v>2023</v>
      </c>
      <c r="F14" s="15" t="n">
        <v>2022</v>
      </c>
      <c r="G14" s="16" t="n">
        <v>2021</v>
      </c>
      <c r="H14" s="16" t="n">
        <v>2020</v>
      </c>
      <c r="I14" s="16" t="n">
        <v>2019</v>
      </c>
      <c r="J14" s="16" t="n">
        <v>2018</v>
      </c>
      <c r="K14" s="16" t="n">
        <v>2017</v>
      </c>
      <c r="L14" s="16" t="n">
        <v>2016</v>
      </c>
      <c r="M14" s="16" t="n">
        <v>2015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false" outlineLevel="0" collapsed="false">
      <c r="A15" s="17" t="s">
        <v>13</v>
      </c>
      <c r="B15" s="18"/>
      <c r="C15" s="19"/>
      <c r="D15" s="20"/>
      <c r="E15" s="20"/>
      <c r="F15" s="21"/>
      <c r="G15" s="18"/>
      <c r="H15" s="18"/>
      <c r="I15" s="18"/>
      <c r="J15" s="18"/>
      <c r="K15" s="18"/>
      <c r="L15" s="18"/>
      <c r="M15" s="1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false" outlineLevel="0" collapsed="false">
      <c r="A16" s="22" t="s">
        <v>14</v>
      </c>
      <c r="B16" s="22" t="s">
        <v>15</v>
      </c>
      <c r="C16" s="23" t="n">
        <v>843341</v>
      </c>
      <c r="D16" s="24" t="n">
        <v>698062</v>
      </c>
      <c r="E16" s="24" t="n">
        <v>555738</v>
      </c>
      <c r="F16" s="25" t="n">
        <v>506847</v>
      </c>
      <c r="G16" s="26" t="n">
        <v>416902</v>
      </c>
      <c r="H16" s="26" t="n">
        <v>382926</v>
      </c>
      <c r="I16" s="26" t="n">
        <v>354689</v>
      </c>
      <c r="J16" s="26" t="n">
        <v>324780</v>
      </c>
      <c r="K16" s="26" t="n">
        <v>275531</v>
      </c>
      <c r="L16" s="26" t="n">
        <v>254776</v>
      </c>
      <c r="M16" s="26" t="n">
        <v>210221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false" outlineLevel="0" collapsed="false">
      <c r="A17" s="22" t="s">
        <v>16</v>
      </c>
      <c r="B17" s="22" t="s">
        <v>15</v>
      </c>
      <c r="C17" s="23" t="n">
        <v>506201</v>
      </c>
      <c r="D17" s="24" t="n">
        <v>444978</v>
      </c>
      <c r="E17" s="24" t="n">
        <v>396078</v>
      </c>
      <c r="F17" s="25" t="n">
        <v>354774</v>
      </c>
      <c r="G17" s="26" t="n">
        <v>286380</v>
      </c>
      <c r="H17" s="26" t="n">
        <v>268202</v>
      </c>
      <c r="I17" s="26" t="n">
        <v>246944</v>
      </c>
      <c r="J17" s="26" t="n">
        <v>231391</v>
      </c>
      <c r="K17" s="26" t="n">
        <v>196596</v>
      </c>
      <c r="L17" s="26" t="n">
        <v>175025</v>
      </c>
      <c r="M17" s="26" t="n">
        <v>143088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false" outlineLevel="0" collapsed="false">
      <c r="A18" s="22" t="s">
        <v>17</v>
      </c>
      <c r="B18" s="22" t="s">
        <v>15</v>
      </c>
      <c r="C18" s="23" t="n">
        <v>631642</v>
      </c>
      <c r="D18" s="24" t="n">
        <v>514204</v>
      </c>
      <c r="E18" s="24" t="n">
        <v>392510</v>
      </c>
      <c r="F18" s="25" t="n">
        <v>331890</v>
      </c>
      <c r="G18" s="26" t="n">
        <v>282064</v>
      </c>
      <c r="H18" s="26" t="n">
        <v>254781</v>
      </c>
      <c r="I18" s="26" t="n">
        <v>246704</v>
      </c>
      <c r="J18" s="26" t="n">
        <v>205170</v>
      </c>
      <c r="K18" s="26" t="n">
        <v>183493</v>
      </c>
      <c r="L18" s="26" t="n">
        <v>174695</v>
      </c>
      <c r="M18" s="26" t="n">
        <v>143729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false" outlineLevel="0" collapsed="false">
      <c r="A19" s="22" t="s">
        <v>18</v>
      </c>
      <c r="B19" s="22" t="s">
        <v>15</v>
      </c>
      <c r="C19" s="23" t="n">
        <v>61102</v>
      </c>
      <c r="D19" s="24" t="n">
        <v>46121</v>
      </c>
      <c r="E19" s="24" t="n">
        <v>37220</v>
      </c>
      <c r="F19" s="25" t="n">
        <v>32845</v>
      </c>
      <c r="G19" s="26" t="n">
        <v>31224</v>
      </c>
      <c r="H19" s="26" t="n">
        <v>28818</v>
      </c>
      <c r="I19" s="26" t="n">
        <v>25416</v>
      </c>
      <c r="J19" s="26" t="n">
        <v>24430</v>
      </c>
      <c r="K19" s="26" t="n">
        <v>24869</v>
      </c>
      <c r="L19" s="26" t="n">
        <v>20653</v>
      </c>
      <c r="M19" s="26" t="n">
        <v>20890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false" outlineLevel="0" collapsed="false">
      <c r="A20" s="17" t="s">
        <v>19</v>
      </c>
      <c r="B20" s="18"/>
      <c r="C20" s="19"/>
      <c r="D20" s="27"/>
      <c r="E20" s="27"/>
      <c r="F20" s="21"/>
      <c r="G20" s="18"/>
      <c r="H20" s="18"/>
      <c r="I20" s="18"/>
      <c r="J20" s="18"/>
      <c r="K20" s="18"/>
      <c r="L20" s="18"/>
      <c r="M20" s="1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" hidden="false" customHeight="false" outlineLevel="0" collapsed="false">
      <c r="A21" s="22" t="s">
        <v>20</v>
      </c>
      <c r="B21" s="22" t="s">
        <v>15</v>
      </c>
      <c r="C21" s="23" t="n">
        <v>2847</v>
      </c>
      <c r="D21" s="24" t="n">
        <v>14742</v>
      </c>
      <c r="E21" s="24" t="n">
        <v>15831</v>
      </c>
      <c r="F21" s="25" t="n">
        <v>12359</v>
      </c>
      <c r="G21" s="26" t="n">
        <v>12048</v>
      </c>
      <c r="H21" s="26" t="n">
        <v>8363</v>
      </c>
      <c r="I21" s="26" t="n">
        <v>10832</v>
      </c>
      <c r="J21" s="26" t="n">
        <v>9201</v>
      </c>
      <c r="K21" s="26" t="n">
        <v>7495</v>
      </c>
      <c r="L21" s="26" t="n">
        <v>6477</v>
      </c>
      <c r="M21" s="26" t="n">
        <v>5506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" hidden="false" customHeight="false" outlineLevel="0" collapsed="false">
      <c r="A22" s="22" t="s">
        <v>21</v>
      </c>
      <c r="B22" s="22" t="s">
        <v>15</v>
      </c>
      <c r="C22" s="23" t="n">
        <v>9443</v>
      </c>
      <c r="D22" s="24" t="n">
        <v>8431</v>
      </c>
      <c r="E22" s="24" t="n">
        <v>7063</v>
      </c>
      <c r="F22" s="25" t="n">
        <v>8624</v>
      </c>
      <c r="G22" s="26" t="n">
        <v>6776</v>
      </c>
      <c r="H22" s="26" t="n">
        <v>4936</v>
      </c>
      <c r="I22" s="26" t="n">
        <v>5367</v>
      </c>
      <c r="J22" s="26" t="n">
        <v>4859</v>
      </c>
      <c r="K22" s="26" t="n">
        <v>4630</v>
      </c>
      <c r="L22" s="26" t="n">
        <v>3173</v>
      </c>
      <c r="M22" s="26" t="n">
        <v>2888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" hidden="false" customHeight="false" outlineLevel="0" collapsed="false">
      <c r="A23" s="22" t="s">
        <v>22</v>
      </c>
      <c r="B23" s="22" t="s">
        <v>15</v>
      </c>
      <c r="C23" s="23" t="n">
        <v>13059</v>
      </c>
      <c r="D23" s="24" t="n">
        <v>10851</v>
      </c>
      <c r="E23" s="24" t="n">
        <v>6151</v>
      </c>
      <c r="F23" s="25" t="n">
        <v>4508</v>
      </c>
      <c r="G23" s="26" t="n">
        <v>4743</v>
      </c>
      <c r="H23" s="26" t="n">
        <v>4012</v>
      </c>
      <c r="I23" s="26" t="n">
        <v>2472</v>
      </c>
      <c r="J23" s="26" t="n">
        <v>2018</v>
      </c>
      <c r="K23" s="26" t="n">
        <v>3628</v>
      </c>
      <c r="L23" s="26" t="n">
        <v>3956</v>
      </c>
      <c r="M23" s="26" t="n">
        <v>3600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" hidden="false" customHeight="false" outlineLevel="0" collapsed="false">
      <c r="A24" s="17" t="s">
        <v>23</v>
      </c>
      <c r="B24" s="18"/>
      <c r="C24" s="19"/>
      <c r="D24" s="27"/>
      <c r="E24" s="27"/>
      <c r="F24" s="21"/>
      <c r="G24" s="18"/>
      <c r="H24" s="18"/>
      <c r="I24" s="18"/>
      <c r="J24" s="18"/>
      <c r="K24" s="18"/>
      <c r="L24" s="18"/>
      <c r="M24" s="1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" hidden="false" customHeight="false" outlineLevel="0" collapsed="false">
      <c r="A25" s="22" t="s">
        <v>24</v>
      </c>
      <c r="B25" s="22" t="s">
        <v>25</v>
      </c>
      <c r="C25" s="28" t="n">
        <v>8.6</v>
      </c>
      <c r="D25" s="29" t="n">
        <v>8.1</v>
      </c>
      <c r="E25" s="29" t="n">
        <v>5</v>
      </c>
      <c r="F25" s="30" t="n">
        <v>3.8</v>
      </c>
      <c r="G25" s="31" t="n">
        <v>4.4</v>
      </c>
      <c r="H25" s="31" t="n">
        <v>3.9</v>
      </c>
      <c r="I25" s="31" t="n">
        <v>2.4</v>
      </c>
      <c r="J25" s="31" t="n">
        <v>2.1</v>
      </c>
      <c r="K25" s="31" t="n">
        <v>4.1</v>
      </c>
      <c r="L25" s="31" t="n">
        <v>4.5</v>
      </c>
      <c r="M25" s="31" t="n">
        <v>4.1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" hidden="false" customHeight="false" outlineLevel="0" collapsed="false">
      <c r="A26" s="22" t="s">
        <v>26</v>
      </c>
      <c r="B26" s="22" t="s">
        <v>27</v>
      </c>
      <c r="C26" s="28" t="n">
        <v>1.7</v>
      </c>
      <c r="D26" s="29" t="n">
        <v>1.7</v>
      </c>
      <c r="E26" s="29" t="n">
        <v>1.2</v>
      </c>
      <c r="F26" s="30" t="n">
        <v>1</v>
      </c>
      <c r="G26" s="31" t="n">
        <v>1.2</v>
      </c>
      <c r="H26" s="31" t="n">
        <v>1.1</v>
      </c>
      <c r="I26" s="31" t="n">
        <v>0.7</v>
      </c>
      <c r="J26" s="31" t="n">
        <v>0.7</v>
      </c>
      <c r="K26" s="31" t="n">
        <v>1.4</v>
      </c>
      <c r="L26" s="31" t="n">
        <v>1.7</v>
      </c>
      <c r="M26" s="31" t="n">
        <v>1.9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" hidden="false" customHeight="false" outlineLevel="0" collapsed="false">
      <c r="A27" s="22" t="s">
        <v>28</v>
      </c>
      <c r="B27" s="22" t="s">
        <v>27</v>
      </c>
      <c r="C27" s="28" t="n">
        <v>24.4</v>
      </c>
      <c r="D27" s="29" t="n">
        <v>26</v>
      </c>
      <c r="E27" s="29" t="n">
        <v>17.6</v>
      </c>
      <c r="F27" s="30" t="n">
        <v>14.1</v>
      </c>
      <c r="G27" s="31" t="n">
        <v>15.8</v>
      </c>
      <c r="H27" s="31" t="n">
        <v>14.8</v>
      </c>
      <c r="I27" s="31" t="n">
        <v>9.9</v>
      </c>
      <c r="J27" s="31" t="n">
        <v>8.2</v>
      </c>
      <c r="K27" s="31" t="n">
        <v>15.9</v>
      </c>
      <c r="L27" s="31" t="n">
        <v>19</v>
      </c>
      <c r="M27" s="31" t="n">
        <v>18.3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" hidden="false" customHeight="false" outlineLevel="0" collapsed="false">
      <c r="A28" s="17" t="s">
        <v>29</v>
      </c>
      <c r="B28" s="18"/>
      <c r="C28" s="19"/>
      <c r="D28" s="27"/>
      <c r="E28" s="27"/>
      <c r="F28" s="21"/>
      <c r="G28" s="18"/>
      <c r="H28" s="18"/>
      <c r="I28" s="18"/>
      <c r="J28" s="18"/>
      <c r="K28" s="18"/>
      <c r="L28" s="18"/>
      <c r="M28" s="1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" hidden="false" customHeight="false" outlineLevel="0" collapsed="false">
      <c r="A29" s="22" t="s">
        <v>30</v>
      </c>
      <c r="B29" s="22" t="s">
        <v>27</v>
      </c>
      <c r="C29" s="28" t="n">
        <v>2.5</v>
      </c>
      <c r="D29" s="29" t="n">
        <v>3.7</v>
      </c>
      <c r="E29" s="29" t="n">
        <v>3.6</v>
      </c>
      <c r="F29" s="30" t="n">
        <v>3.9</v>
      </c>
      <c r="G29" s="31" t="n">
        <v>4.9</v>
      </c>
      <c r="H29" s="31" t="n">
        <v>4</v>
      </c>
      <c r="I29" s="31" t="n">
        <v>5.8</v>
      </c>
      <c r="J29" s="31" t="n">
        <v>5.3</v>
      </c>
      <c r="K29" s="31" t="n">
        <v>5.4</v>
      </c>
      <c r="L29" s="31" t="n">
        <v>6</v>
      </c>
      <c r="M29" s="31" t="n">
        <v>7.6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" hidden="false" customHeight="false" outlineLevel="0" collapsed="false">
      <c r="A30" s="22" t="s">
        <v>31</v>
      </c>
      <c r="B30" s="22" t="s">
        <v>15</v>
      </c>
      <c r="C30" s="28" t="n">
        <v>12669</v>
      </c>
      <c r="D30" s="29" t="n">
        <v>16569</v>
      </c>
      <c r="E30" s="29" t="n">
        <v>14385</v>
      </c>
      <c r="F30" s="30" t="n">
        <v>13671</v>
      </c>
      <c r="G30" s="31" t="n">
        <v>13906</v>
      </c>
      <c r="H30" s="31" t="n">
        <v>10850</v>
      </c>
      <c r="I30" s="31" t="n">
        <v>14244</v>
      </c>
      <c r="J30" s="31" t="n">
        <v>12326</v>
      </c>
      <c r="K30" s="31" t="n">
        <v>10678</v>
      </c>
      <c r="L30" s="31" t="n">
        <v>10582</v>
      </c>
      <c r="M30" s="31" t="n">
        <v>10845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22" t="s">
        <v>32</v>
      </c>
      <c r="B31" s="22" t="s">
        <v>27</v>
      </c>
      <c r="C31" s="28" t="n">
        <v>127</v>
      </c>
      <c r="D31" s="29" t="n">
        <v>106.8</v>
      </c>
      <c r="E31" s="29" t="n">
        <v>110.1</v>
      </c>
      <c r="F31" s="30" t="n">
        <v>104.7</v>
      </c>
      <c r="G31" s="31" t="n">
        <v>90.1</v>
      </c>
      <c r="H31" s="31" t="n">
        <v>83.8</v>
      </c>
      <c r="I31" s="31" t="n">
        <v>71</v>
      </c>
      <c r="J31" s="31" t="n">
        <v>64.6</v>
      </c>
      <c r="K31" s="31" t="n">
        <v>56.7</v>
      </c>
      <c r="L31" s="31" t="n">
        <v>59.6</v>
      </c>
      <c r="M31" s="31" t="n">
        <v>57.5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22" t="s">
        <v>33</v>
      </c>
      <c r="B32" s="22" t="s">
        <v>27</v>
      </c>
      <c r="C32" s="28" t="n">
        <v>71.3</v>
      </c>
      <c r="D32" s="29" t="n">
        <v>74.7</v>
      </c>
      <c r="E32" s="29" t="n">
        <v>83.7</v>
      </c>
      <c r="F32" s="30" t="n">
        <v>83.2</v>
      </c>
      <c r="G32" s="31" t="n">
        <v>84.7</v>
      </c>
      <c r="H32" s="31" t="n">
        <v>74.7</v>
      </c>
      <c r="I32" s="31" t="n">
        <v>79.1</v>
      </c>
      <c r="J32" s="31" t="n">
        <v>82.5</v>
      </c>
      <c r="K32" s="31" t="n">
        <v>84.9</v>
      </c>
      <c r="L32" s="31" t="n">
        <v>80.4</v>
      </c>
      <c r="M32" s="31" t="n">
        <v>79.2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17" t="s">
        <v>34</v>
      </c>
      <c r="B33" s="18"/>
      <c r="C33" s="19"/>
      <c r="D33" s="27"/>
      <c r="E33" s="27"/>
      <c r="F33" s="21"/>
      <c r="G33" s="18"/>
      <c r="H33" s="18"/>
      <c r="I33" s="18"/>
      <c r="J33" s="18"/>
      <c r="K33" s="18"/>
      <c r="L33" s="18"/>
      <c r="M33" s="1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22" t="s">
        <v>35</v>
      </c>
      <c r="B34" s="22" t="s">
        <v>27</v>
      </c>
      <c r="C34" s="28" t="n">
        <v>15.7</v>
      </c>
      <c r="D34" s="29" t="n">
        <v>16</v>
      </c>
      <c r="E34" s="29" t="n">
        <v>15.8</v>
      </c>
      <c r="F34" s="30" t="n">
        <v>14.5</v>
      </c>
      <c r="G34" s="31" t="n">
        <v>14.2</v>
      </c>
      <c r="H34" s="31" t="n">
        <v>15.5</v>
      </c>
      <c r="I34" s="31" t="n">
        <v>15.2</v>
      </c>
      <c r="J34" s="31" t="n">
        <v>13.4</v>
      </c>
      <c r="K34" s="31" t="n">
        <v>14.7</v>
      </c>
      <c r="L34" s="31" t="n">
        <v>13.2</v>
      </c>
      <c r="M34" s="31" t="n">
        <v>13.2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22" t="s">
        <v>36</v>
      </c>
      <c r="B35" s="22" t="s">
        <v>27</v>
      </c>
      <c r="C35" s="28" t="n">
        <v>43.7</v>
      </c>
      <c r="D35" s="29" t="n">
        <v>42.1</v>
      </c>
      <c r="E35" s="29" t="n">
        <v>51.1</v>
      </c>
      <c r="F35" s="30" t="n">
        <v>51.9</v>
      </c>
      <c r="G35" s="31" t="n">
        <v>48.6</v>
      </c>
      <c r="H35" s="31" t="n">
        <v>57.9</v>
      </c>
      <c r="I35" s="31" t="n">
        <v>54.7</v>
      </c>
      <c r="J35" s="31" t="n">
        <v>58</v>
      </c>
      <c r="K35" s="31" t="n">
        <v>53.9</v>
      </c>
      <c r="L35" s="31" t="n">
        <v>47.6</v>
      </c>
      <c r="M35" s="31" t="n">
        <v>47.6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17" t="s">
        <v>37</v>
      </c>
      <c r="B36" s="18"/>
      <c r="C36" s="19"/>
      <c r="D36" s="27"/>
      <c r="E36" s="27"/>
      <c r="F36" s="21"/>
      <c r="G36" s="18"/>
      <c r="H36" s="18"/>
      <c r="I36" s="18"/>
      <c r="J36" s="18"/>
      <c r="K36" s="18"/>
      <c r="L36" s="18"/>
      <c r="M36" s="1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22" t="s">
        <v>38</v>
      </c>
      <c r="B37" s="22" t="s">
        <v>27</v>
      </c>
      <c r="C37" s="32" t="n">
        <f aca="false">C30/C16*100</f>
        <v>1.5022393077059</v>
      </c>
      <c r="D37" s="33" t="n">
        <f aca="false">D30/D16*100</f>
        <v>2.37357140196716</v>
      </c>
      <c r="E37" s="33" t="n">
        <f aca="false">E30/E16*100</f>
        <v>2.58844995303542</v>
      </c>
      <c r="F37" s="34" t="n">
        <f aca="false">F30/F16*100</f>
        <v>2.69726367128542</v>
      </c>
      <c r="G37" s="35" t="n">
        <f aca="false">G30/G16*100</f>
        <v>3.33555607792719</v>
      </c>
      <c r="H37" s="35" t="n">
        <f aca="false">H30/H16*100</f>
        <v>2.83344562657015</v>
      </c>
      <c r="I37" s="35" t="n">
        <f aca="false">I30/I16*100</f>
        <v>4.01591253182365</v>
      </c>
      <c r="J37" s="35" t="n">
        <f aca="false">J30/J16*100</f>
        <v>3.79518443253895</v>
      </c>
      <c r="K37" s="35" t="n">
        <f aca="false">K30/K16*100</f>
        <v>3.875425995623</v>
      </c>
      <c r="L37" s="35" t="n">
        <f aca="false">L30/L16*100</f>
        <v>4.15345244450027</v>
      </c>
      <c r="M37" s="35" t="n">
        <f aca="false">M30/M16*100</f>
        <v>5.15885663183031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22" t="s">
        <v>39</v>
      </c>
      <c r="B38" s="22" t="s">
        <v>27</v>
      </c>
      <c r="C38" s="36" t="n">
        <f aca="false">C23/D23-1</f>
        <v>0.203483549903235</v>
      </c>
      <c r="D38" s="37" t="n">
        <f aca="false">D23/E23-1</f>
        <v>0.764103397821492</v>
      </c>
      <c r="E38" s="37" t="n">
        <f aca="false">E23/F23-1</f>
        <v>0.364463176574978</v>
      </c>
      <c r="F38" s="38" t="n">
        <f aca="false">F23/G23-1</f>
        <v>-0.0495467004005904</v>
      </c>
      <c r="G38" s="39" t="n">
        <f aca="false">G23/H23-1</f>
        <v>0.182203389830508</v>
      </c>
      <c r="H38" s="39" t="n">
        <f aca="false">H23/I23-1</f>
        <v>0.622977346278317</v>
      </c>
      <c r="I38" s="39" t="n">
        <f aca="false">I23/J23-1</f>
        <v>0.224975222993062</v>
      </c>
      <c r="J38" s="39" t="n">
        <f aca="false">J23/K23-1</f>
        <v>-0.443770672546858</v>
      </c>
      <c r="K38" s="39" t="n">
        <f aca="false">K23/L23-1</f>
        <v>-0.082912032355915</v>
      </c>
      <c r="L38" s="39" t="n">
        <f aca="false">L23/M23-1</f>
        <v>0.0988888888888888</v>
      </c>
      <c r="M38" s="2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22" t="s">
        <v>40</v>
      </c>
      <c r="B39" s="22" t="s">
        <v>27</v>
      </c>
      <c r="C39" s="36" t="n">
        <f aca="false">C16/D16-1</f>
        <v>0.208117617059803</v>
      </c>
      <c r="D39" s="37" t="n">
        <f aca="false">D16/E16-1</f>
        <v>0.256099097056527</v>
      </c>
      <c r="E39" s="37" t="n">
        <f aca="false">E16/F16-1</f>
        <v>0.0964610622140409</v>
      </c>
      <c r="F39" s="38" t="n">
        <f aca="false">F16/G16-1</f>
        <v>0.215746146576414</v>
      </c>
      <c r="G39" s="39" t="n">
        <f aca="false">G16/H16-1</f>
        <v>0.0887273259063108</v>
      </c>
      <c r="H39" s="39" t="n">
        <f aca="false">H16/I16-1</f>
        <v>0.0796105884309917</v>
      </c>
      <c r="I39" s="39" t="n">
        <f aca="false">I16/J16-1</f>
        <v>0.0920900301742718</v>
      </c>
      <c r="J39" s="39" t="n">
        <f aca="false">J16/K16-1</f>
        <v>0.178742137908257</v>
      </c>
      <c r="K39" s="39" t="n">
        <f aca="false">K16/L16-1</f>
        <v>0.081463717147612</v>
      </c>
      <c r="L39" s="39" t="n">
        <f aca="false">L16/M16-1</f>
        <v>0.211943621236699</v>
      </c>
      <c r="M39" s="2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D43" s="40"/>
      <c r="E43" s="40"/>
      <c r="F43" s="40"/>
      <c r="G43" s="40"/>
      <c r="H43" s="40"/>
      <c r="I43" s="40"/>
      <c r="J43" s="40"/>
      <c r="K43" s="40"/>
      <c r="L43" s="40"/>
      <c r="M43" s="4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D46" s="4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D51" s="4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D52" s="4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customFormat="false" ht="15.75" hidden="false" customHeight="true" outlineLevel="0" collapsed="false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customFormat="false" ht="15.75" hidden="false" customHeight="true" outlineLevel="0" collapsed="false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customFormat="false" ht="15.75" hidden="false" customHeight="true" outlineLevel="0" collapsed="false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customFormat="false" ht="15.75" hidden="false" customHeight="true" outlineLevel="0" collapsed="false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customFormat="false" ht="15.75" hidden="false" customHeight="true" outlineLevel="0" collapsed="false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customFormat="false" ht="15.75" hidden="false" customHeight="true" outlineLevel="0" collapsed="false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customFormat="false" ht="15.75" hidden="false" customHeight="true" outlineLevel="0" collapsed="false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customFormat="false" ht="15.75" hidden="false" customHeight="true" outlineLevel="0" collapsed="false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customFormat="false" ht="15.75" hidden="false" customHeight="true" outlineLevel="0" collapsed="false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customFormat="false" ht="15.75" hidden="false" customHeight="true" outlineLevel="0" collapsed="false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</sheetData>
  <mergeCells count="12">
    <mergeCell ref="B2:H2"/>
    <mergeCell ref="B3:H3"/>
    <mergeCell ref="A4:A10"/>
    <mergeCell ref="B4:G4"/>
    <mergeCell ref="B5:G5"/>
    <mergeCell ref="B6:G6"/>
    <mergeCell ref="B7:G7"/>
    <mergeCell ref="B8:G8"/>
    <mergeCell ref="B9:G9"/>
    <mergeCell ref="B10:G10"/>
    <mergeCell ref="B11:G11"/>
    <mergeCell ref="B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0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8.14"/>
    <col collapsed="false" customWidth="true" hidden="false" outlineLevel="0" max="2" min="2" style="0" width="9"/>
    <col collapsed="false" customWidth="true" hidden="false" outlineLevel="0" max="13" min="3" style="0" width="11"/>
    <col collapsed="false" customWidth="true" hidden="false" outlineLevel="0" max="26" min="14" style="0" width="8.71"/>
  </cols>
  <sheetData>
    <row r="2" customFormat="false" ht="18.55" hidden="false" customHeight="false" outlineLevel="0" collapsed="false">
      <c r="B2" s="2" t="s">
        <v>41</v>
      </c>
      <c r="C2" s="2"/>
      <c r="D2" s="2"/>
      <c r="E2" s="2"/>
      <c r="F2" s="2"/>
      <c r="G2" s="2"/>
      <c r="H2" s="2"/>
    </row>
    <row r="3" customFormat="false" ht="16.15" hidden="false" customHeight="false" outlineLevel="0" collapsed="false">
      <c r="A3" s="43"/>
      <c r="B3" s="44" t="s">
        <v>1</v>
      </c>
      <c r="C3" s="44"/>
      <c r="D3" s="44"/>
      <c r="E3" s="44"/>
      <c r="F3" s="44"/>
      <c r="G3" s="44"/>
      <c r="H3" s="44"/>
    </row>
    <row r="4" customFormat="false" ht="15" hidden="false" customHeight="false" outlineLevel="0" collapsed="false">
      <c r="A4" s="43"/>
      <c r="B4" s="5" t="s">
        <v>2</v>
      </c>
      <c r="C4" s="5"/>
      <c r="D4" s="5"/>
      <c r="E4" s="5"/>
      <c r="F4" s="5"/>
      <c r="G4" s="5"/>
      <c r="H4" s="6" t="n">
        <f aca="false">AVERAGE(C28:M28)</f>
        <v>-6.01909090909091</v>
      </c>
    </row>
    <row r="5" customFormat="false" ht="15" hidden="false" customHeight="false" outlineLevel="0" collapsed="false">
      <c r="A5" s="43"/>
      <c r="B5" s="5" t="s">
        <v>3</v>
      </c>
      <c r="C5" s="5"/>
      <c r="D5" s="5"/>
      <c r="E5" s="5"/>
      <c r="F5" s="5"/>
      <c r="G5" s="5"/>
      <c r="H5" s="6" t="n">
        <f aca="false">STDEV(C28:M28)</f>
        <v>44.5123693942584</v>
      </c>
    </row>
    <row r="6" customFormat="false" ht="15" hidden="false" customHeight="false" outlineLevel="0" collapsed="false">
      <c r="A6" s="43"/>
      <c r="B6" s="5" t="s">
        <v>4</v>
      </c>
      <c r="C6" s="5"/>
      <c r="D6" s="5"/>
      <c r="E6" s="5"/>
      <c r="F6" s="5"/>
      <c r="G6" s="5"/>
      <c r="H6" s="6" t="n">
        <f aca="false">(H4-3)/H5</f>
        <v>-0.202619879189228</v>
      </c>
    </row>
    <row r="7" customFormat="false" ht="15" hidden="false" customHeight="false" outlineLevel="0" collapsed="false">
      <c r="A7" s="43"/>
      <c r="B7" s="5" t="s">
        <v>5</v>
      </c>
      <c r="C7" s="5"/>
      <c r="D7" s="5"/>
      <c r="E7" s="5"/>
      <c r="F7" s="5"/>
      <c r="G7" s="5"/>
      <c r="H7" s="6" t="n">
        <f aca="false">AVERAGE(D28:I28)</f>
        <v>6.085</v>
      </c>
    </row>
    <row r="8" customFormat="false" ht="15" hidden="false" customHeight="false" outlineLevel="0" collapsed="false">
      <c r="A8" s="43"/>
      <c r="B8" s="5" t="s">
        <v>6</v>
      </c>
      <c r="C8" s="5"/>
      <c r="D8" s="5"/>
      <c r="E8" s="5"/>
      <c r="F8" s="5"/>
      <c r="G8" s="5"/>
      <c r="H8" s="6" t="n">
        <f aca="false">STDEV(D28:I28)</f>
        <v>5.45122279860216</v>
      </c>
    </row>
    <row r="9" customFormat="false" ht="15" hidden="false" customHeight="false" outlineLevel="0" collapsed="false">
      <c r="A9" s="43"/>
      <c r="B9" s="5" t="s">
        <v>7</v>
      </c>
      <c r="C9" s="5"/>
      <c r="D9" s="5"/>
      <c r="E9" s="5"/>
      <c r="F9" s="5"/>
      <c r="G9" s="5"/>
      <c r="H9" s="6" t="n">
        <f aca="false">(H7-3)/H8</f>
        <v>0.565928070448905</v>
      </c>
    </row>
    <row r="10" customFormat="false" ht="15" hidden="false" customHeight="false" outlineLevel="0" collapsed="false">
      <c r="A10" s="43"/>
      <c r="B10" s="5" t="s">
        <v>8</v>
      </c>
      <c r="C10" s="5"/>
      <c r="D10" s="5"/>
      <c r="E10" s="5"/>
      <c r="F10" s="5"/>
      <c r="G10" s="5"/>
      <c r="H10" s="7" t="n">
        <f aca="false">(C20/M20)^(1/10)-1</f>
        <v>-0.0752373242702141</v>
      </c>
    </row>
    <row r="11" customFormat="false" ht="15" hidden="false" customHeight="false" outlineLevel="0" collapsed="false">
      <c r="A11" s="43"/>
      <c r="B11" s="5" t="s">
        <v>9</v>
      </c>
      <c r="C11" s="5"/>
      <c r="D11" s="5"/>
      <c r="E11" s="5"/>
      <c r="F11" s="5"/>
      <c r="G11" s="5"/>
      <c r="H11" s="8" t="n">
        <v>-844.2</v>
      </c>
    </row>
    <row r="12" customFormat="false" ht="15" hidden="false" customHeight="false" outlineLevel="0" collapsed="false">
      <c r="A12" s="43"/>
      <c r="B12" s="5" t="s">
        <v>10</v>
      </c>
      <c r="C12" s="5"/>
      <c r="D12" s="5"/>
      <c r="E12" s="5"/>
      <c r="F12" s="5"/>
      <c r="G12" s="5"/>
      <c r="H12" s="9" t="n">
        <f aca="false">SLOPE(C31:M31,C15:M15)</f>
        <v>4.34690909090909</v>
      </c>
    </row>
    <row r="13" customFormat="false" ht="15" hidden="false" customHeight="false" outlineLevel="0" collapsed="false">
      <c r="A13" s="43"/>
    </row>
    <row r="14" customFormat="false" ht="15" hidden="false" customHeight="false" outlineLevel="0" collapsed="false">
      <c r="A14" s="45"/>
    </row>
    <row r="15" customFormat="false" ht="15" hidden="false" customHeight="false" outlineLevel="0" collapsed="false">
      <c r="A15" s="46" t="s">
        <v>11</v>
      </c>
      <c r="B15" s="46" t="s">
        <v>12</v>
      </c>
      <c r="C15" s="47" t="n">
        <v>2025</v>
      </c>
      <c r="D15" s="48" t="n">
        <v>2024</v>
      </c>
      <c r="E15" s="48" t="n">
        <v>2023</v>
      </c>
      <c r="F15" s="49" t="n">
        <v>2022</v>
      </c>
      <c r="G15" s="50" t="n">
        <v>2021</v>
      </c>
      <c r="H15" s="50" t="n">
        <v>2020</v>
      </c>
      <c r="I15" s="50" t="n">
        <v>2019</v>
      </c>
      <c r="J15" s="50" t="n">
        <v>2018</v>
      </c>
      <c r="K15" s="50" t="n">
        <v>2017</v>
      </c>
      <c r="L15" s="50" t="n">
        <v>2016</v>
      </c>
      <c r="M15" s="50" t="n">
        <v>2015</v>
      </c>
    </row>
    <row r="16" customFormat="false" ht="15" hidden="false" customHeight="false" outlineLevel="0" collapsed="false">
      <c r="A16" s="51" t="s">
        <v>13</v>
      </c>
      <c r="B16" s="52"/>
      <c r="C16" s="53"/>
      <c r="D16" s="54"/>
      <c r="E16" s="54"/>
      <c r="F16" s="55"/>
      <c r="G16" s="52"/>
      <c r="H16" s="52"/>
      <c r="I16" s="52"/>
      <c r="J16" s="52"/>
      <c r="K16" s="52"/>
      <c r="L16" s="52"/>
      <c r="M16" s="52"/>
    </row>
    <row r="17" customFormat="false" ht="15" hidden="false" customHeight="false" outlineLevel="0" collapsed="false">
      <c r="A17" s="22" t="s">
        <v>14</v>
      </c>
      <c r="B17" s="56" t="s">
        <v>15</v>
      </c>
      <c r="C17" s="57" t="n">
        <v>586402.1</v>
      </c>
      <c r="D17" s="58" t="n">
        <v>565693.6</v>
      </c>
      <c r="E17" s="58" t="n">
        <v>529936.5</v>
      </c>
      <c r="F17" s="59" t="n">
        <v>470548.02</v>
      </c>
      <c r="G17" s="60" t="n">
        <v>410402.92</v>
      </c>
      <c r="H17" s="60" t="n">
        <v>363412</v>
      </c>
      <c r="I17" s="60" t="n">
        <v>316950</v>
      </c>
      <c r="J17" s="60" t="n">
        <v>283073</v>
      </c>
      <c r="K17" s="60" t="n">
        <v>253249</v>
      </c>
      <c r="L17" s="60" t="n">
        <v>200251.06</v>
      </c>
      <c r="M17" s="60" t="n">
        <v>180737.39</v>
      </c>
    </row>
    <row r="18" customFormat="false" ht="15" hidden="false" customHeight="false" outlineLevel="0" collapsed="false">
      <c r="A18" s="22" t="s">
        <v>42</v>
      </c>
      <c r="B18" s="56" t="s">
        <v>15</v>
      </c>
      <c r="C18" s="57" t="n">
        <v>443295</v>
      </c>
      <c r="D18" s="58" t="n">
        <v>447266.1</v>
      </c>
      <c r="E18" s="58" t="n">
        <v>414982.8</v>
      </c>
      <c r="F18" s="59" t="n">
        <v>355858.87</v>
      </c>
      <c r="G18" s="60" t="n">
        <v>306333.35</v>
      </c>
      <c r="H18" s="60" t="n">
        <v>260650</v>
      </c>
      <c r="I18" s="60" t="n">
        <v>228589</v>
      </c>
      <c r="J18" s="60" t="n">
        <v>206930</v>
      </c>
      <c r="K18" s="60" t="n">
        <v>179264</v>
      </c>
      <c r="L18" s="60" t="n">
        <v>141258.76</v>
      </c>
      <c r="M18" s="60" t="n">
        <v>125668.04</v>
      </c>
    </row>
    <row r="19" customFormat="false" ht="15" hidden="false" customHeight="false" outlineLevel="0" collapsed="false">
      <c r="A19" s="22" t="s">
        <v>17</v>
      </c>
      <c r="B19" s="56" t="s">
        <v>15</v>
      </c>
      <c r="C19" s="57" t="n">
        <v>517162</v>
      </c>
      <c r="D19" s="58" t="n">
        <v>474592</v>
      </c>
      <c r="E19" s="58" t="n">
        <v>442071.4</v>
      </c>
      <c r="F19" s="59" t="n">
        <v>375552.71</v>
      </c>
      <c r="G19" s="60" t="n">
        <v>332751.26</v>
      </c>
      <c r="H19" s="60" t="n">
        <v>296374</v>
      </c>
      <c r="I19" s="60" t="n">
        <v>258368</v>
      </c>
      <c r="J19" s="60" t="n">
        <v>226364</v>
      </c>
      <c r="K19" s="60" t="n">
        <v>200206</v>
      </c>
      <c r="L19" s="60" t="n">
        <v>160132.62</v>
      </c>
      <c r="M19" s="60" t="n">
        <v>146848.21</v>
      </c>
    </row>
    <row r="20" customFormat="false" ht="15" hidden="false" customHeight="false" outlineLevel="0" collapsed="false">
      <c r="A20" s="22" t="s">
        <v>18</v>
      </c>
      <c r="B20" s="56" t="s">
        <v>15</v>
      </c>
      <c r="C20" s="57" t="n">
        <v>5658.3</v>
      </c>
      <c r="D20" s="58" t="n">
        <v>31045.4</v>
      </c>
      <c r="E20" s="58" t="n">
        <v>36125.3</v>
      </c>
      <c r="F20" s="59" t="n">
        <v>33609</v>
      </c>
      <c r="G20" s="60" t="n">
        <v>30236.31</v>
      </c>
      <c r="H20" s="60" t="n">
        <v>25217</v>
      </c>
      <c r="I20" s="60" t="n">
        <v>24597</v>
      </c>
      <c r="J20" s="60" t="n">
        <v>22116</v>
      </c>
      <c r="K20" s="60" t="n">
        <v>20539</v>
      </c>
      <c r="L20" s="60" t="n">
        <v>13922.4</v>
      </c>
      <c r="M20" s="60" t="n">
        <v>12370.38</v>
      </c>
    </row>
    <row r="21" customFormat="false" ht="15" hidden="false" customHeight="false" outlineLevel="0" collapsed="false">
      <c r="A21" s="51" t="s">
        <v>19</v>
      </c>
      <c r="B21" s="61"/>
      <c r="C21" s="53"/>
      <c r="D21" s="54"/>
      <c r="E21" s="54"/>
      <c r="F21" s="55"/>
      <c r="G21" s="52"/>
      <c r="H21" s="52"/>
      <c r="I21" s="52"/>
      <c r="J21" s="52"/>
      <c r="K21" s="52"/>
      <c r="L21" s="52"/>
      <c r="M21" s="52"/>
    </row>
    <row r="22" customFormat="false" ht="15" hidden="false" customHeight="false" outlineLevel="0" collapsed="false">
      <c r="A22" s="22" t="s">
        <v>20</v>
      </c>
      <c r="B22" s="56" t="s">
        <v>15</v>
      </c>
      <c r="C22" s="57" t="n">
        <v>-22094.7</v>
      </c>
      <c r="D22" s="58" t="n">
        <v>2733.6</v>
      </c>
      <c r="E22" s="58" t="n">
        <v>8377</v>
      </c>
      <c r="F22" s="59" t="n">
        <v>8099</v>
      </c>
      <c r="G22" s="60" t="n">
        <v>7165</v>
      </c>
      <c r="H22" s="60" t="n">
        <v>2864</v>
      </c>
      <c r="I22" s="60" t="n">
        <v>6398</v>
      </c>
      <c r="J22" s="60" t="n">
        <v>4560</v>
      </c>
      <c r="K22" s="60" t="n">
        <v>5492</v>
      </c>
      <c r="L22" s="60" t="n">
        <v>4405.43</v>
      </c>
      <c r="M22" s="60" t="n">
        <v>3774.51</v>
      </c>
    </row>
    <row r="23" customFormat="false" ht="15" hidden="false" customHeight="false" outlineLevel="0" collapsed="false">
      <c r="A23" s="22" t="s">
        <v>21</v>
      </c>
      <c r="B23" s="56" t="s">
        <v>15</v>
      </c>
      <c r="C23" s="57" t="n">
        <v>10182.5</v>
      </c>
      <c r="D23" s="58" t="n">
        <v>8823.6</v>
      </c>
      <c r="E23" s="58" t="n">
        <v>7282.6</v>
      </c>
      <c r="F23" s="59" t="n">
        <v>7458</v>
      </c>
      <c r="G23" s="60" t="n">
        <v>7188</v>
      </c>
      <c r="H23" s="60" t="n">
        <v>5560</v>
      </c>
      <c r="I23" s="60" t="n">
        <v>4722</v>
      </c>
      <c r="J23" s="60" t="n">
        <v>4441</v>
      </c>
      <c r="K23" s="60" t="n">
        <v>4270</v>
      </c>
      <c r="L23" s="60" t="n">
        <v>4247.43</v>
      </c>
      <c r="M23" s="60" t="n">
        <v>4305.47</v>
      </c>
    </row>
    <row r="24" customFormat="false" ht="15" hidden="false" customHeight="false" outlineLevel="0" collapsed="false">
      <c r="A24" s="22" t="s">
        <v>22</v>
      </c>
      <c r="B24" s="56" t="s">
        <v>15</v>
      </c>
      <c r="C24" s="57" t="n">
        <v>-25616.9</v>
      </c>
      <c r="D24" s="58" t="n">
        <v>-1024.7</v>
      </c>
      <c r="E24" s="58" t="n">
        <v>3005.2</v>
      </c>
      <c r="F24" s="59" t="n">
        <v>3442</v>
      </c>
      <c r="G24" s="60" t="n">
        <v>2541</v>
      </c>
      <c r="H24" s="60" t="n">
        <v>562</v>
      </c>
      <c r="I24" s="60" t="n">
        <v>2444</v>
      </c>
      <c r="J24" s="60" t="n">
        <v>1570</v>
      </c>
      <c r="K24" s="60" t="n">
        <v>2068</v>
      </c>
      <c r="L24" s="60" t="n">
        <v>1582.53</v>
      </c>
      <c r="M24" s="60" t="n">
        <v>1057.14</v>
      </c>
    </row>
    <row r="25" customFormat="false" ht="15" hidden="false" customHeight="false" outlineLevel="0" collapsed="false">
      <c r="A25" s="51" t="s">
        <v>23</v>
      </c>
      <c r="B25" s="61"/>
      <c r="C25" s="53"/>
      <c r="D25" s="54"/>
      <c r="E25" s="54"/>
      <c r="F25" s="55"/>
      <c r="G25" s="52"/>
      <c r="H25" s="52"/>
      <c r="I25" s="52"/>
      <c r="J25" s="52"/>
      <c r="K25" s="52"/>
      <c r="L25" s="52"/>
      <c r="M25" s="52"/>
    </row>
    <row r="26" customFormat="false" ht="15" hidden="false" customHeight="false" outlineLevel="0" collapsed="false">
      <c r="A26" s="22" t="s">
        <v>24</v>
      </c>
      <c r="B26" s="56" t="s">
        <v>25</v>
      </c>
      <c r="C26" s="32" t="n">
        <v>-13.33</v>
      </c>
      <c r="D26" s="62" t="n">
        <v>-0.53</v>
      </c>
      <c r="E26" s="62" t="n">
        <v>1.56</v>
      </c>
      <c r="F26" s="34" t="n">
        <v>1.93</v>
      </c>
      <c r="G26" s="35" t="n">
        <v>1.42</v>
      </c>
      <c r="H26" s="35" t="n">
        <v>0.35</v>
      </c>
      <c r="I26" s="35" t="n">
        <v>1.51</v>
      </c>
      <c r="J26" s="35" t="n">
        <v>1.07</v>
      </c>
      <c r="K26" s="35" t="n">
        <v>1.54</v>
      </c>
      <c r="L26" s="35" t="n">
        <v>2.81</v>
      </c>
      <c r="M26" s="35" t="n">
        <v>1.87</v>
      </c>
    </row>
    <row r="27" customFormat="false" ht="15" hidden="false" customHeight="false" outlineLevel="0" collapsed="false">
      <c r="A27" s="22" t="s">
        <v>26</v>
      </c>
      <c r="B27" s="56" t="s">
        <v>27</v>
      </c>
      <c r="C27" s="32" t="n">
        <v>-4.45</v>
      </c>
      <c r="D27" s="62" t="n">
        <v>-0.19</v>
      </c>
      <c r="E27" s="62" t="n">
        <v>0.57</v>
      </c>
      <c r="F27" s="34" t="n">
        <v>0.78</v>
      </c>
      <c r="G27" s="35" t="n">
        <v>0.61</v>
      </c>
      <c r="H27" s="35" t="n">
        <v>0.2</v>
      </c>
      <c r="I27" s="35" t="n">
        <v>0.8</v>
      </c>
      <c r="J27" s="35" t="n">
        <v>0.6</v>
      </c>
      <c r="K27" s="35" t="n">
        <v>0.9</v>
      </c>
      <c r="L27" s="35" t="n">
        <v>0.65</v>
      </c>
      <c r="M27" s="35" t="n">
        <v>0.53</v>
      </c>
    </row>
    <row r="28" customFormat="false" ht="15" hidden="false" customHeight="false" outlineLevel="0" collapsed="false">
      <c r="A28" s="22" t="s">
        <v>28</v>
      </c>
      <c r="B28" s="56" t="s">
        <v>27</v>
      </c>
      <c r="C28" s="32" t="n">
        <v>-139.59</v>
      </c>
      <c r="D28" s="62" t="n">
        <v>-3.25</v>
      </c>
      <c r="E28" s="62" t="n">
        <v>8.32</v>
      </c>
      <c r="F28" s="34" t="n">
        <v>10.24</v>
      </c>
      <c r="G28" s="35" t="n">
        <v>8.4</v>
      </c>
      <c r="H28" s="35" t="n">
        <v>2.3</v>
      </c>
      <c r="I28" s="35" t="n">
        <v>10.5</v>
      </c>
      <c r="J28" s="35" t="n">
        <v>7.4</v>
      </c>
      <c r="K28" s="35" t="n">
        <v>12.4</v>
      </c>
      <c r="L28" s="35" t="n">
        <v>9.46</v>
      </c>
      <c r="M28" s="35" t="n">
        <v>7.61</v>
      </c>
    </row>
    <row r="29" customFormat="false" ht="15" hidden="false" customHeight="false" outlineLevel="0" collapsed="false">
      <c r="A29" s="51" t="s">
        <v>29</v>
      </c>
      <c r="B29" s="61"/>
      <c r="C29" s="53"/>
      <c r="D29" s="54"/>
      <c r="E29" s="54"/>
      <c r="F29" s="55"/>
      <c r="G29" s="52"/>
      <c r="H29" s="52"/>
      <c r="I29" s="52"/>
      <c r="J29" s="52"/>
      <c r="K29" s="52"/>
      <c r="L29" s="52"/>
      <c r="M29" s="52"/>
    </row>
    <row r="30" customFormat="false" ht="15" hidden="false" customHeight="false" outlineLevel="0" collapsed="false">
      <c r="A30" s="22" t="s">
        <v>33</v>
      </c>
      <c r="B30" s="56" t="s">
        <v>27</v>
      </c>
      <c r="C30" s="32" t="n">
        <v>84.19</v>
      </c>
      <c r="D30" s="62" t="n">
        <v>91.34</v>
      </c>
      <c r="E30" s="62" t="n">
        <v>93.9</v>
      </c>
      <c r="F30" s="34" t="n">
        <v>94.76</v>
      </c>
      <c r="G30" s="35" t="n">
        <v>92.06</v>
      </c>
      <c r="H30" s="35" t="n">
        <v>82.4</v>
      </c>
      <c r="I30" s="35" t="n">
        <v>84.08</v>
      </c>
      <c r="J30" s="35" t="n">
        <v>86.83</v>
      </c>
      <c r="K30" s="35" t="n">
        <v>85.04</v>
      </c>
      <c r="L30" s="35" t="n">
        <v>85.62</v>
      </c>
      <c r="M30" s="35" t="n">
        <v>83.96</v>
      </c>
    </row>
    <row r="31" customFormat="false" ht="15" hidden="false" customHeight="false" outlineLevel="0" collapsed="false">
      <c r="A31" s="22" t="s">
        <v>30</v>
      </c>
      <c r="B31" s="56" t="s">
        <v>27</v>
      </c>
      <c r="C31" s="32" t="n">
        <v>61.47</v>
      </c>
      <c r="D31" s="62" t="n">
        <v>54.97</v>
      </c>
      <c r="E31" s="62" t="n">
        <v>7.99</v>
      </c>
      <c r="F31" s="34" t="n">
        <v>5.61</v>
      </c>
      <c r="G31" s="35" t="n">
        <v>6.09</v>
      </c>
      <c r="H31" s="35" t="n">
        <v>3.97</v>
      </c>
      <c r="I31" s="35" t="n">
        <v>5.37</v>
      </c>
      <c r="J31" s="35" t="n">
        <v>6.16</v>
      </c>
      <c r="K31" s="35" t="n">
        <v>6.4</v>
      </c>
      <c r="L31" s="35" t="n">
        <v>5.29</v>
      </c>
      <c r="M31" s="35" t="n">
        <v>6.46</v>
      </c>
    </row>
    <row r="32" customFormat="false" ht="15.75" hidden="false" customHeight="true" outlineLevel="0" collapsed="false">
      <c r="A32" s="22" t="s">
        <v>32</v>
      </c>
      <c r="B32" s="56" t="s">
        <v>27</v>
      </c>
      <c r="C32" s="32" t="n">
        <v>2.91</v>
      </c>
      <c r="D32" s="62" t="n">
        <v>5.46</v>
      </c>
      <c r="E32" s="62" t="n">
        <v>44</v>
      </c>
      <c r="F32" s="34" t="n">
        <v>66.11</v>
      </c>
      <c r="G32" s="35" t="n">
        <v>54.47</v>
      </c>
      <c r="H32" s="35" t="n">
        <v>75.8</v>
      </c>
      <c r="I32" s="35" t="n">
        <v>49.2</v>
      </c>
      <c r="J32" s="35" t="n">
        <v>46.7</v>
      </c>
      <c r="K32" s="35" t="n">
        <v>51.5</v>
      </c>
      <c r="L32" s="35" t="n">
        <v>32.48</v>
      </c>
      <c r="M32" s="35" t="n">
        <v>33.92</v>
      </c>
    </row>
    <row r="33" customFormat="false" ht="15.75" hidden="false" customHeight="true" outlineLevel="0" collapsed="false">
      <c r="A33" s="51" t="s">
        <v>34</v>
      </c>
      <c r="B33" s="61"/>
      <c r="C33" s="53"/>
      <c r="D33" s="54"/>
      <c r="E33" s="54"/>
      <c r="F33" s="55"/>
      <c r="G33" s="52"/>
      <c r="H33" s="52"/>
      <c r="I33" s="52"/>
      <c r="J33" s="52"/>
      <c r="K33" s="52"/>
      <c r="L33" s="52"/>
      <c r="M33" s="52"/>
    </row>
    <row r="34" customFormat="false" ht="15.75" hidden="false" customHeight="true" outlineLevel="0" collapsed="false">
      <c r="A34" s="22" t="s">
        <v>43</v>
      </c>
      <c r="B34" s="56" t="s">
        <v>27</v>
      </c>
      <c r="C34" s="32" t="n">
        <v>2.45</v>
      </c>
      <c r="D34" s="62" t="n">
        <v>7.96</v>
      </c>
      <c r="E34" s="62" t="n">
        <v>12.74</v>
      </c>
      <c r="F34" s="34" t="n">
        <v>13.62</v>
      </c>
      <c r="G34" s="35" t="n">
        <v>13.89</v>
      </c>
      <c r="H34" s="35" t="n">
        <v>12.96</v>
      </c>
      <c r="I34" s="35" t="n">
        <v>13.42</v>
      </c>
      <c r="J34" s="35" t="n">
        <v>12.99</v>
      </c>
      <c r="K34" s="35" t="n">
        <v>13.06</v>
      </c>
      <c r="L34" s="35" t="n">
        <v>11.73</v>
      </c>
      <c r="M34" s="35" t="n">
        <v>10.24</v>
      </c>
    </row>
    <row r="35" customFormat="false" ht="15.75" hidden="false" customHeight="true" outlineLevel="0" collapsed="false">
      <c r="A35" s="22" t="s">
        <v>44</v>
      </c>
      <c r="B35" s="56" t="s">
        <v>27</v>
      </c>
      <c r="C35" s="32" t="n">
        <v>-101.27</v>
      </c>
      <c r="D35" s="62" t="n">
        <v>98.73</v>
      </c>
      <c r="E35" s="62" t="n">
        <v>65.3</v>
      </c>
      <c r="F35" s="34" t="n">
        <v>54.17</v>
      </c>
      <c r="G35" s="35" t="n">
        <v>47.05</v>
      </c>
      <c r="H35" s="35" t="n">
        <v>65.4</v>
      </c>
      <c r="I35" s="35" t="n">
        <v>54.9</v>
      </c>
      <c r="J35" s="22"/>
      <c r="K35" s="22"/>
      <c r="L35" s="35" t="n">
        <v>60.02</v>
      </c>
      <c r="M35" s="35" t="n">
        <v>55.3</v>
      </c>
    </row>
    <row r="36" customFormat="false" ht="15.75" hidden="false" customHeight="true" outlineLevel="0" collapsed="false">
      <c r="A36" s="51" t="s">
        <v>45</v>
      </c>
      <c r="B36" s="61"/>
      <c r="C36" s="53"/>
      <c r="D36" s="54"/>
      <c r="E36" s="54"/>
      <c r="F36" s="55"/>
      <c r="G36" s="52"/>
      <c r="H36" s="52"/>
      <c r="I36" s="52"/>
      <c r="J36" s="52"/>
      <c r="K36" s="52"/>
      <c r="L36" s="52"/>
      <c r="M36" s="52"/>
    </row>
    <row r="37" customFormat="false" ht="15.75" hidden="false" customHeight="true" outlineLevel="0" collapsed="false">
      <c r="A37" s="22" t="s">
        <v>46</v>
      </c>
      <c r="B37" s="56" t="s">
        <v>15</v>
      </c>
      <c r="C37" s="23" t="n">
        <f aca="false">C31/100*C18</f>
        <v>272493.4365</v>
      </c>
      <c r="D37" s="63" t="n">
        <f aca="false">D31/100*D18</f>
        <v>245862.17517</v>
      </c>
      <c r="E37" s="63" t="n">
        <f aca="false">E31/100*E18</f>
        <v>33157.12572</v>
      </c>
      <c r="F37" s="25" t="n">
        <f aca="false">F31/100*F18</f>
        <v>19963.682607</v>
      </c>
      <c r="G37" s="26" t="n">
        <f aca="false">G31/100*G18</f>
        <v>18655.701015</v>
      </c>
      <c r="H37" s="26" t="n">
        <f aca="false">H31/100*H18</f>
        <v>10347.805</v>
      </c>
      <c r="I37" s="26" t="n">
        <f aca="false">I31/100*I18</f>
        <v>12275.2293</v>
      </c>
      <c r="J37" s="26" t="n">
        <f aca="false">J31/100*J18</f>
        <v>12746.888</v>
      </c>
      <c r="K37" s="26" t="n">
        <f aca="false">K31/100*K18</f>
        <v>11472.896</v>
      </c>
      <c r="L37" s="26" t="n">
        <f aca="false">L31/100*L18</f>
        <v>7472.588404</v>
      </c>
      <c r="M37" s="26" t="n">
        <f aca="false">M31/100*M18</f>
        <v>8118.155384</v>
      </c>
    </row>
    <row r="38" customFormat="false" ht="15.75" hidden="false" customHeight="true" outlineLevel="0" collapsed="false">
      <c r="A38" s="22" t="s">
        <v>47</v>
      </c>
      <c r="B38" s="56" t="s">
        <v>27</v>
      </c>
      <c r="C38" s="32" t="n">
        <f aca="false">C37/C17*100</f>
        <v>46.468700657791</v>
      </c>
      <c r="D38" s="62" t="n">
        <f aca="false">D37/D17*100</f>
        <v>43.4620747291467</v>
      </c>
      <c r="E38" s="62" t="n">
        <f aca="false">E37/E17*100</f>
        <v>6.25681109340459</v>
      </c>
      <c r="F38" s="34" t="n">
        <f aca="false">F37/F17*100</f>
        <v>4.24264511983283</v>
      </c>
      <c r="G38" s="35" t="n">
        <f aca="false">G37/G17*100</f>
        <v>4.54570377203944</v>
      </c>
      <c r="H38" s="35" t="n">
        <f aca="false">H37/H17*100</f>
        <v>2.84740322278846</v>
      </c>
      <c r="I38" s="35" t="n">
        <f aca="false">I37/I17*100</f>
        <v>3.87292295314718</v>
      </c>
      <c r="J38" s="35" t="n">
        <f aca="false">J37/J17*100</f>
        <v>4.50303914537946</v>
      </c>
      <c r="K38" s="35" t="n">
        <f aca="false">K37/K17*100</f>
        <v>4.53028284415733</v>
      </c>
      <c r="L38" s="35" t="n">
        <f aca="false">L37/L17*100</f>
        <v>3.73160991207737</v>
      </c>
      <c r="M38" s="35" t="n">
        <f aca="false">M37/M17*100</f>
        <v>4.49168563516381</v>
      </c>
    </row>
    <row r="39" customFormat="false" ht="15.75" hidden="false" customHeight="true" outlineLevel="0" collapsed="false">
      <c r="A39" s="22" t="s">
        <v>39</v>
      </c>
      <c r="B39" s="56" t="s">
        <v>27</v>
      </c>
      <c r="C39" s="36" t="n">
        <f aca="false">C24/ABS(D24)-1</f>
        <v>-25.9994144627696</v>
      </c>
      <c r="D39" s="64" t="n">
        <f aca="false">D24/ABS(E24)-1</f>
        <v>-1.34097564222015</v>
      </c>
      <c r="E39" s="64" t="n">
        <f aca="false">E24/ABS(F24)-1</f>
        <v>-0.126902963393376</v>
      </c>
      <c r="F39" s="38" t="n">
        <f aca="false">F24/ABS(G24)-1</f>
        <v>0.354584809130264</v>
      </c>
      <c r="G39" s="39" t="n">
        <f aca="false">G24/ABS(H24)-1</f>
        <v>3.52135231316726</v>
      </c>
      <c r="H39" s="39" t="n">
        <f aca="false">H24/ABS(I24)-1</f>
        <v>-0.770049099836334</v>
      </c>
      <c r="I39" s="39" t="n">
        <f aca="false">I24/ABS(J24)-1</f>
        <v>0.556687898089172</v>
      </c>
      <c r="J39" s="39" t="n">
        <f aca="false">J24/ABS(K24)-1</f>
        <v>-0.240812379110251</v>
      </c>
      <c r="K39" s="39" t="n">
        <f aca="false">K24/ABS(L24)-1</f>
        <v>0.306768276114829</v>
      </c>
      <c r="L39" s="39" t="n">
        <f aca="false">L24/ABS(M24)-1</f>
        <v>0.496991883761848</v>
      </c>
      <c r="M39" s="22"/>
    </row>
    <row r="40" customFormat="false" ht="15.75" hidden="false" customHeight="true" outlineLevel="0" collapsed="false">
      <c r="A40" s="22" t="s">
        <v>48</v>
      </c>
      <c r="B40" s="56" t="s">
        <v>27</v>
      </c>
      <c r="C40" s="36" t="n">
        <f aca="false">C20/D20-1</f>
        <v>-0.817741114625677</v>
      </c>
      <c r="D40" s="64" t="n">
        <f aca="false">D20/E20-1</f>
        <v>-0.140618901434729</v>
      </c>
      <c r="E40" s="64" t="n">
        <f aca="false">E20/F20-1</f>
        <v>0.0748698265345593</v>
      </c>
      <c r="F40" s="38" t="n">
        <f aca="false">F20/G20-1</f>
        <v>0.111544365036607</v>
      </c>
      <c r="G40" s="39" t="n">
        <f aca="false">G20/H20-1</f>
        <v>0.199044692072808</v>
      </c>
      <c r="H40" s="39" t="n">
        <f aca="false">H20/I20-1</f>
        <v>0.0252063259747124</v>
      </c>
      <c r="I40" s="39" t="n">
        <f aca="false">I20/J20-1</f>
        <v>0.11218122626153</v>
      </c>
      <c r="J40" s="39" t="n">
        <f aca="false">J20/K20-1</f>
        <v>0.0767807585568918</v>
      </c>
      <c r="K40" s="39" t="n">
        <f aca="false">K20/L20-1</f>
        <v>0.475248520370051</v>
      </c>
      <c r="L40" s="39" t="n">
        <f aca="false">L20/M20-1</f>
        <v>0.125462596945284</v>
      </c>
      <c r="M40" s="22"/>
    </row>
    <row r="41" customFormat="false" ht="15.75" hidden="false" customHeight="true" outlineLevel="0" collapsed="false">
      <c r="B41" s="65"/>
    </row>
    <row r="42" customFormat="false" ht="15.75" hidden="false" customHeight="true" outlineLevel="0" collapsed="false">
      <c r="A42" s="66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8"/>
    </row>
    <row r="43" customFormat="false" ht="15.75" hidden="false" customHeight="true" outlineLevel="0" collapsed="false">
      <c r="A43" s="69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1"/>
    </row>
    <row r="44" customFormat="false" ht="15.75" hidden="false" customHeight="true" outlineLevel="0" collapsed="false">
      <c r="A44" s="69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1"/>
    </row>
    <row r="45" customFormat="false" ht="15.75" hidden="false" customHeight="true" outlineLevel="0" collapsed="false">
      <c r="A45" s="69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1"/>
    </row>
    <row r="46" customFormat="false" ht="15.75" hidden="false" customHeight="true" outlineLevel="0" collapsed="false">
      <c r="A46" s="69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1"/>
    </row>
    <row r="47" customFormat="false" ht="15.75" hidden="false" customHeight="true" outlineLevel="0" collapsed="false">
      <c r="A47" s="72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4"/>
    </row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</sheetData>
  <mergeCells count="12">
    <mergeCell ref="B2:H2"/>
    <mergeCell ref="A3:A13"/>
    <mergeCell ref="B3:H3"/>
    <mergeCell ref="B4:G4"/>
    <mergeCell ref="B5:G5"/>
    <mergeCell ref="B6:G6"/>
    <mergeCell ref="B7:G7"/>
    <mergeCell ref="B8:G8"/>
    <mergeCell ref="B9:G9"/>
    <mergeCell ref="B10:G10"/>
    <mergeCell ref="B11:G11"/>
    <mergeCell ref="B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2.71"/>
    <col collapsed="false" customWidth="true" hidden="false" outlineLevel="0" max="2" min="2" style="0" width="6.57"/>
    <col collapsed="false" customWidth="true" hidden="false" outlineLevel="0" max="3" min="3" style="0" width="12"/>
  </cols>
  <sheetData>
    <row r="2" customFormat="false" ht="18.55" hidden="false" customHeight="false" outlineLevel="0" collapsed="false">
      <c r="B2" s="75" t="s">
        <v>49</v>
      </c>
      <c r="C2" s="75"/>
      <c r="D2" s="75"/>
      <c r="E2" s="75"/>
      <c r="F2" s="75"/>
    </row>
    <row r="3" customFormat="false" ht="16.15" hidden="false" customHeight="false" outlineLevel="0" collapsed="false">
      <c r="A3" s="76"/>
      <c r="B3" s="77" t="s">
        <v>1</v>
      </c>
      <c r="C3" s="77"/>
      <c r="D3" s="77"/>
      <c r="E3" s="77"/>
      <c r="F3" s="77"/>
      <c r="G3" s="77"/>
      <c r="H3" s="77"/>
    </row>
    <row r="4" customFormat="false" ht="15" hidden="false" customHeight="false" outlineLevel="0" collapsed="false">
      <c r="A4" s="76"/>
      <c r="B4" s="5" t="s">
        <v>2</v>
      </c>
      <c r="C4" s="5"/>
      <c r="D4" s="5"/>
      <c r="E4" s="5"/>
      <c r="F4" s="5"/>
      <c r="G4" s="5"/>
      <c r="H4" s="6" t="n">
        <f aca="false">AVERAGE(C27:M27)</f>
        <v>9.586</v>
      </c>
    </row>
    <row r="5" customFormat="false" ht="15" hidden="false" customHeight="false" outlineLevel="0" collapsed="false">
      <c r="A5" s="76"/>
      <c r="B5" s="5" t="s">
        <v>3</v>
      </c>
      <c r="C5" s="5"/>
      <c r="D5" s="5"/>
      <c r="E5" s="5"/>
      <c r="F5" s="5"/>
      <c r="G5" s="5"/>
      <c r="H5" s="6" t="n">
        <f aca="false">STDEV(C27:M27)</f>
        <v>1.68926808608541</v>
      </c>
    </row>
    <row r="6" customFormat="false" ht="15" hidden="false" customHeight="false" outlineLevel="0" collapsed="false">
      <c r="A6" s="76"/>
      <c r="B6" s="5" t="s">
        <v>4</v>
      </c>
      <c r="C6" s="5"/>
      <c r="D6" s="5"/>
      <c r="E6" s="5"/>
      <c r="F6" s="5"/>
      <c r="G6" s="5"/>
      <c r="H6" s="6" t="n">
        <f aca="false">(H4-3)/H5</f>
        <v>3.89872990216842</v>
      </c>
    </row>
    <row r="7" customFormat="false" ht="15" hidden="false" customHeight="false" outlineLevel="0" collapsed="false">
      <c r="A7" s="76"/>
      <c r="B7" s="5" t="s">
        <v>5</v>
      </c>
      <c r="C7" s="5"/>
      <c r="D7" s="5"/>
      <c r="E7" s="5"/>
      <c r="F7" s="5"/>
      <c r="G7" s="5"/>
      <c r="H7" s="6" t="n">
        <f aca="false">AVERAGE(D27:I27)</f>
        <v>9.00333333333333</v>
      </c>
    </row>
    <row r="8" customFormat="false" ht="15" hidden="false" customHeight="false" outlineLevel="0" collapsed="false">
      <c r="A8" s="76"/>
      <c r="B8" s="5" t="s">
        <v>6</v>
      </c>
      <c r="C8" s="5"/>
      <c r="D8" s="5"/>
      <c r="E8" s="5"/>
      <c r="F8" s="5"/>
      <c r="G8" s="5"/>
      <c r="H8" s="6" t="n">
        <f aca="false">STDEV(D27:I27)</f>
        <v>1.18552379422206</v>
      </c>
    </row>
    <row r="9" customFormat="false" ht="15" hidden="false" customHeight="false" outlineLevel="0" collapsed="false">
      <c r="A9" s="76"/>
      <c r="B9" s="5" t="s">
        <v>7</v>
      </c>
      <c r="C9" s="5"/>
      <c r="D9" s="5"/>
      <c r="E9" s="5"/>
      <c r="F9" s="5"/>
      <c r="G9" s="5"/>
      <c r="H9" s="6" t="n">
        <f aca="false">(H7-3)/H8</f>
        <v>5.06386574659408</v>
      </c>
    </row>
    <row r="10" customFormat="false" ht="15" hidden="false" customHeight="false" outlineLevel="0" collapsed="false">
      <c r="A10" s="76"/>
      <c r="B10" s="5" t="s">
        <v>8</v>
      </c>
      <c r="C10" s="5"/>
      <c r="D10" s="5"/>
      <c r="E10" s="5"/>
      <c r="F10" s="5"/>
      <c r="G10" s="5"/>
      <c r="H10" s="7" t="n">
        <f aca="false">(C19/L19)^(1/9)-1</f>
        <v>0.0707694112412984</v>
      </c>
    </row>
    <row r="11" customFormat="false" ht="15" hidden="false" customHeight="false" outlineLevel="0" collapsed="false">
      <c r="A11" s="76"/>
      <c r="B11" s="5" t="s">
        <v>9</v>
      </c>
      <c r="C11" s="5"/>
      <c r="D11" s="5"/>
      <c r="E11" s="5"/>
      <c r="F11" s="5"/>
      <c r="G11" s="5"/>
      <c r="H11" s="8" t="n">
        <v>-21.3</v>
      </c>
    </row>
    <row r="12" customFormat="false" ht="15" hidden="false" customHeight="false" outlineLevel="0" collapsed="false">
      <c r="B12" s="5" t="s">
        <v>10</v>
      </c>
      <c r="C12" s="5"/>
      <c r="D12" s="5"/>
      <c r="E12" s="5"/>
      <c r="F12" s="5"/>
      <c r="G12" s="5"/>
      <c r="H12" s="9" t="n">
        <f aca="false">SLOPE(C30:M30,C14:M14)</f>
        <v>0.554848484848485</v>
      </c>
    </row>
    <row r="14" customFormat="false" ht="15" hidden="false" customHeight="false" outlineLevel="0" collapsed="false">
      <c r="A14" s="78" t="s">
        <v>11</v>
      </c>
      <c r="B14" s="78" t="s">
        <v>12</v>
      </c>
      <c r="C14" s="79" t="n">
        <v>2025</v>
      </c>
      <c r="D14" s="80" t="n">
        <v>2024</v>
      </c>
      <c r="E14" s="81" t="n">
        <v>2023</v>
      </c>
      <c r="F14" s="81" t="n">
        <v>2022</v>
      </c>
      <c r="G14" s="82" t="n">
        <v>2021</v>
      </c>
      <c r="H14" s="79" t="n">
        <v>2020</v>
      </c>
      <c r="I14" s="79" t="n">
        <v>2019</v>
      </c>
      <c r="J14" s="79" t="n">
        <v>2018</v>
      </c>
      <c r="K14" s="79" t="n">
        <v>2017</v>
      </c>
      <c r="L14" s="79" t="n">
        <v>2016</v>
      </c>
      <c r="M14" s="79" t="n">
        <v>2015</v>
      </c>
      <c r="N14" s="83"/>
    </row>
    <row r="15" customFormat="false" ht="15" hidden="false" customHeight="false" outlineLevel="0" collapsed="false">
      <c r="A15" s="84" t="s">
        <v>13</v>
      </c>
      <c r="B15" s="85"/>
      <c r="C15" s="85"/>
      <c r="D15" s="86"/>
      <c r="E15" s="87"/>
      <c r="F15" s="87"/>
      <c r="G15" s="88"/>
      <c r="H15" s="85"/>
      <c r="I15" s="85"/>
      <c r="J15" s="85"/>
      <c r="K15" s="85"/>
      <c r="L15" s="85"/>
      <c r="M15" s="85"/>
      <c r="N15" s="89"/>
    </row>
    <row r="16" customFormat="false" ht="15" hidden="false" customHeight="false" outlineLevel="0" collapsed="false">
      <c r="A16" s="22" t="s">
        <v>14</v>
      </c>
      <c r="B16" s="22" t="s">
        <v>15</v>
      </c>
      <c r="C16" s="22" t="n">
        <v>589486.81</v>
      </c>
      <c r="D16" s="90" t="n">
        <v>532901.82</v>
      </c>
      <c r="E16" s="91" t="n">
        <v>474147.76</v>
      </c>
      <c r="F16" s="91" t="n">
        <v>468400.94</v>
      </c>
      <c r="G16" s="92" t="n">
        <v>438293.29</v>
      </c>
      <c r="H16" s="22" t="n">
        <v>408717.15</v>
      </c>
      <c r="I16" s="22" t="n">
        <v>353800.37</v>
      </c>
      <c r="J16" s="22" t="n">
        <v>307291.4</v>
      </c>
      <c r="K16" s="22" t="n">
        <v>288996.64</v>
      </c>
      <c r="L16" s="22" t="n">
        <v>253195.7</v>
      </c>
      <c r="M16" s="60" t="n">
        <v>224347</v>
      </c>
      <c r="N16" s="60"/>
    </row>
    <row r="17" customFormat="false" ht="15" hidden="false" customHeight="false" outlineLevel="0" collapsed="false">
      <c r="A17" s="22" t="s">
        <v>42</v>
      </c>
      <c r="B17" s="22" t="s">
        <v>15</v>
      </c>
      <c r="C17" s="22" t="n">
        <v>294682.3</v>
      </c>
      <c r="D17" s="90" t="n">
        <v>293725.6</v>
      </c>
      <c r="E17" s="91" t="n">
        <v>291325.04</v>
      </c>
      <c r="F17" s="91" t="n">
        <v>277870.36</v>
      </c>
      <c r="G17" s="92" t="n">
        <v>262266.7</v>
      </c>
      <c r="H17" s="22" t="n">
        <v>244642.03</v>
      </c>
      <c r="I17" s="22" t="n">
        <v>227298.96</v>
      </c>
      <c r="J17" s="22" t="n">
        <v>214618.15</v>
      </c>
      <c r="K17" s="22" t="n">
        <v>197504.14</v>
      </c>
      <c r="L17" s="22" t="n">
        <v>163609.78</v>
      </c>
      <c r="M17" s="60" t="n">
        <v>136396.32</v>
      </c>
      <c r="N17" s="60"/>
    </row>
    <row r="18" customFormat="false" ht="15" hidden="false" customHeight="false" outlineLevel="0" collapsed="false">
      <c r="A18" s="22" t="s">
        <v>17</v>
      </c>
      <c r="B18" s="22" t="s">
        <v>15</v>
      </c>
      <c r="C18" s="22" t="n">
        <v>456482.91</v>
      </c>
      <c r="D18" s="90" t="n">
        <v>416559.45</v>
      </c>
      <c r="E18" s="91" t="n">
        <v>361536.3</v>
      </c>
      <c r="F18" s="91" t="n">
        <v>337695.42</v>
      </c>
      <c r="G18" s="92" t="n">
        <v>317782.43</v>
      </c>
      <c r="H18" s="22" t="n">
        <v>303028.11</v>
      </c>
      <c r="I18" s="22" t="n">
        <v>253709.57</v>
      </c>
      <c r="J18" s="22" t="n">
        <v>222471.72</v>
      </c>
      <c r="K18" s="22" t="n">
        <v>207041.47</v>
      </c>
      <c r="L18" s="22" t="n">
        <v>191272.58</v>
      </c>
      <c r="M18" s="60" t="n">
        <v>169827</v>
      </c>
      <c r="N18" s="60"/>
    </row>
    <row r="19" customFormat="false" ht="15" hidden="false" customHeight="false" outlineLevel="0" collapsed="false">
      <c r="A19" s="22" t="s">
        <v>18</v>
      </c>
      <c r="B19" s="22" t="s">
        <v>15</v>
      </c>
      <c r="C19" s="22" t="n">
        <v>35228.64</v>
      </c>
      <c r="D19" s="90" t="n">
        <v>31842.29</v>
      </c>
      <c r="E19" s="91" t="n">
        <v>29519.53</v>
      </c>
      <c r="F19" s="91" t="n">
        <v>28640.25</v>
      </c>
      <c r="G19" s="92" t="n">
        <v>27356.64</v>
      </c>
      <c r="H19" s="22" t="n">
        <v>27380.9</v>
      </c>
      <c r="I19" s="22" t="n">
        <v>24745.12</v>
      </c>
      <c r="J19" s="22" t="n">
        <v>23340.13</v>
      </c>
      <c r="K19" s="22" t="n">
        <v>21054.49</v>
      </c>
      <c r="L19" s="22" t="n">
        <v>19038.48</v>
      </c>
      <c r="M19" s="60" t="s">
        <v>50</v>
      </c>
      <c r="N19" s="60"/>
    </row>
    <row r="20" customFormat="false" ht="15" hidden="false" customHeight="false" outlineLevel="0" collapsed="false">
      <c r="A20" s="84" t="s">
        <v>19</v>
      </c>
      <c r="B20" s="85"/>
      <c r="C20" s="85"/>
      <c r="D20" s="86"/>
      <c r="E20" s="87"/>
      <c r="F20" s="87"/>
      <c r="G20" s="88"/>
      <c r="H20" s="85"/>
      <c r="I20" s="85"/>
      <c r="J20" s="85"/>
      <c r="K20" s="85"/>
      <c r="L20" s="85"/>
      <c r="M20" s="85"/>
      <c r="N20" s="89"/>
    </row>
    <row r="21" customFormat="false" ht="15" hidden="false" customHeight="false" outlineLevel="0" collapsed="false">
      <c r="A21" s="22" t="s">
        <v>20</v>
      </c>
      <c r="B21" s="22" t="s">
        <v>15</v>
      </c>
      <c r="C21" s="22" t="n">
        <v>-1377.09</v>
      </c>
      <c r="D21" s="90" t="n">
        <v>6029.97</v>
      </c>
      <c r="E21" s="91" t="n">
        <v>6233.07</v>
      </c>
      <c r="F21" s="91" t="n">
        <v>5506.73</v>
      </c>
      <c r="G21" s="92" t="n">
        <v>5639.88</v>
      </c>
      <c r="H21" s="22" t="n">
        <v>3185.32</v>
      </c>
      <c r="I21" s="22" t="n">
        <v>8400.76</v>
      </c>
      <c r="J21" s="22" t="n">
        <v>7902.69</v>
      </c>
      <c r="K21" s="22" t="n">
        <v>5570.01</v>
      </c>
      <c r="L21" s="22" t="n">
        <v>3968.45</v>
      </c>
      <c r="M21" s="60" t="s">
        <v>50</v>
      </c>
      <c r="N21" s="60"/>
    </row>
    <row r="22" customFormat="false" ht="15" hidden="false" customHeight="false" outlineLevel="0" collapsed="false">
      <c r="A22" s="22" t="s">
        <v>21</v>
      </c>
      <c r="B22" s="22" t="s">
        <v>15</v>
      </c>
      <c r="C22" s="22" t="n">
        <v>9042.32</v>
      </c>
      <c r="D22" s="90" t="n">
        <v>7812.95</v>
      </c>
      <c r="E22" s="91" t="n">
        <v>7532.73</v>
      </c>
      <c r="F22" s="91" t="n">
        <v>8596.86</v>
      </c>
      <c r="G22" s="92" t="n">
        <v>6609.12</v>
      </c>
      <c r="H22" s="22" t="n">
        <v>4462.27</v>
      </c>
      <c r="I22" s="22" t="n">
        <v>4456.4</v>
      </c>
      <c r="J22" s="22" t="n">
        <v>4015.84</v>
      </c>
      <c r="K22" s="22" t="n">
        <v>4120.56</v>
      </c>
      <c r="L22" s="22" t="n">
        <v>3756.18</v>
      </c>
      <c r="M22" s="60" t="s">
        <v>50</v>
      </c>
      <c r="N22" s="60"/>
    </row>
    <row r="23" customFormat="false" ht="15" hidden="false" customHeight="false" outlineLevel="0" collapsed="false">
      <c r="A23" s="22" t="s">
        <v>22</v>
      </c>
      <c r="B23" s="22" t="s">
        <v>15</v>
      </c>
      <c r="C23" s="22" t="n">
        <v>4455.82</v>
      </c>
      <c r="D23" s="90" t="n">
        <v>2774.6</v>
      </c>
      <c r="E23" s="91" t="n">
        <v>2395.8</v>
      </c>
      <c r="F23" s="91" t="n">
        <v>3045.87</v>
      </c>
      <c r="G23" s="92" t="n">
        <v>2706.74</v>
      </c>
      <c r="H23" s="22" t="n">
        <v>2035.71</v>
      </c>
      <c r="I23" s="22" t="n">
        <v>1960.81</v>
      </c>
      <c r="J23" s="22" t="n">
        <v>2266.28</v>
      </c>
      <c r="K23" s="22" t="n">
        <v>2047.53</v>
      </c>
      <c r="L23" s="22" t="n">
        <v>1545.91</v>
      </c>
      <c r="M23" s="60" t="s">
        <v>50</v>
      </c>
      <c r="N23" s="60"/>
    </row>
    <row r="24" customFormat="false" ht="15" hidden="false" customHeight="false" outlineLevel="0" collapsed="false">
      <c r="A24" s="84" t="s">
        <v>23</v>
      </c>
      <c r="B24" s="85"/>
      <c r="C24" s="85"/>
      <c r="D24" s="86"/>
      <c r="E24" s="87"/>
      <c r="F24" s="87"/>
      <c r="G24" s="88"/>
      <c r="H24" s="85"/>
      <c r="I24" s="85"/>
      <c r="J24" s="85"/>
      <c r="K24" s="85"/>
      <c r="L24" s="85"/>
      <c r="M24" s="85"/>
      <c r="N24" s="89"/>
    </row>
    <row r="25" customFormat="false" ht="15" hidden="false" customHeight="false" outlineLevel="0" collapsed="false">
      <c r="A25" s="22" t="s">
        <v>24</v>
      </c>
      <c r="B25" s="22" t="s">
        <v>25</v>
      </c>
      <c r="C25" s="22" t="n">
        <v>3.19</v>
      </c>
      <c r="D25" s="90" t="n">
        <v>1.88</v>
      </c>
      <c r="E25" s="91" t="n">
        <v>1.72</v>
      </c>
      <c r="F25" s="91" t="n">
        <v>2.61</v>
      </c>
      <c r="G25" s="92" t="n">
        <v>2.32</v>
      </c>
      <c r="H25" s="22" t="n">
        <v>1.75</v>
      </c>
      <c r="I25" s="22" t="n">
        <v>1.68</v>
      </c>
      <c r="J25" s="22" t="n">
        <v>1.94</v>
      </c>
      <c r="K25" s="22" t="n">
        <v>1.84</v>
      </c>
      <c r="L25" s="22" t="n">
        <v>1.57</v>
      </c>
      <c r="M25" s="35" t="s">
        <v>50</v>
      </c>
      <c r="N25" s="35"/>
    </row>
    <row r="26" customFormat="false" ht="15" hidden="false" customHeight="false" outlineLevel="0" collapsed="false">
      <c r="A26" s="22" t="s">
        <v>26</v>
      </c>
      <c r="B26" s="22" t="s">
        <v>27</v>
      </c>
      <c r="C26" s="22" t="n">
        <v>0.79</v>
      </c>
      <c r="D26" s="90" t="n">
        <v>0.55</v>
      </c>
      <c r="E26" s="91" t="n">
        <v>0.51</v>
      </c>
      <c r="F26" s="91" t="n">
        <v>0.67</v>
      </c>
      <c r="G26" s="92" t="n">
        <v>0.64</v>
      </c>
      <c r="H26" s="22" t="n">
        <v>0.53</v>
      </c>
      <c r="I26" s="22" t="n">
        <v>0.59</v>
      </c>
      <c r="J26" s="22" t="n">
        <v>0.76</v>
      </c>
      <c r="K26" s="22" t="n">
        <v>0.76</v>
      </c>
      <c r="L26" s="22" t="n">
        <v>0.65</v>
      </c>
      <c r="M26" s="35" t="s">
        <v>50</v>
      </c>
      <c r="N26" s="35"/>
    </row>
    <row r="27" customFormat="false" ht="15" hidden="false" customHeight="false" outlineLevel="0" collapsed="false">
      <c r="A27" s="22" t="s">
        <v>28</v>
      </c>
      <c r="B27" s="22" t="s">
        <v>27</v>
      </c>
      <c r="C27" s="22" t="n">
        <v>13.29</v>
      </c>
      <c r="D27" s="90" t="n">
        <v>9.04</v>
      </c>
      <c r="E27" s="91" t="n">
        <v>8.24</v>
      </c>
      <c r="F27" s="91" t="n">
        <v>10.88</v>
      </c>
      <c r="G27" s="92" t="n">
        <v>9.89</v>
      </c>
      <c r="H27" s="22" t="n">
        <v>7.81</v>
      </c>
      <c r="I27" s="22" t="n">
        <v>8.16</v>
      </c>
      <c r="J27" s="22" t="n">
        <v>10.21</v>
      </c>
      <c r="K27" s="22" t="n">
        <v>10.21</v>
      </c>
      <c r="L27" s="22" t="n">
        <v>8.13</v>
      </c>
      <c r="M27" s="35" t="s">
        <v>50</v>
      </c>
      <c r="N27" s="35"/>
    </row>
    <row r="28" customFormat="false" ht="15" hidden="false" customHeight="false" outlineLevel="0" collapsed="false">
      <c r="A28" s="84" t="s">
        <v>29</v>
      </c>
      <c r="B28" s="85"/>
      <c r="C28" s="85"/>
      <c r="D28" s="86"/>
      <c r="E28" s="87"/>
      <c r="F28" s="87"/>
      <c r="G28" s="88"/>
      <c r="H28" s="85"/>
      <c r="I28" s="85"/>
      <c r="J28" s="85"/>
      <c r="K28" s="85"/>
      <c r="L28" s="85"/>
      <c r="M28" s="85"/>
      <c r="N28" s="89"/>
    </row>
    <row r="29" customFormat="false" ht="15" hidden="false" customHeight="false" outlineLevel="0" collapsed="false">
      <c r="A29" s="22" t="s">
        <v>33</v>
      </c>
      <c r="B29" s="22" t="s">
        <v>27</v>
      </c>
      <c r="C29" s="22" t="n">
        <v>55.77</v>
      </c>
      <c r="D29" s="90" t="n">
        <v>64.13</v>
      </c>
      <c r="E29" s="91" t="n">
        <v>72.48</v>
      </c>
      <c r="F29" s="91" t="n">
        <v>68.17</v>
      </c>
      <c r="G29" s="92" t="n">
        <v>65.58</v>
      </c>
      <c r="H29" s="22" t="n">
        <v>69.42</v>
      </c>
      <c r="I29" s="22" t="n">
        <v>76.47</v>
      </c>
      <c r="J29" s="22" t="n">
        <v>81.75</v>
      </c>
      <c r="K29" s="22" t="n">
        <v>81.88</v>
      </c>
      <c r="L29" s="22" t="n">
        <v>76.15</v>
      </c>
      <c r="M29" s="35" t="s">
        <v>50</v>
      </c>
      <c r="N29" s="35"/>
    </row>
    <row r="30" customFormat="false" ht="15" hidden="false" customHeight="false" outlineLevel="0" collapsed="false">
      <c r="A30" s="22" t="s">
        <v>30</v>
      </c>
      <c r="B30" s="22" t="s">
        <v>27</v>
      </c>
      <c r="C30" s="22" t="n">
        <v>8.38</v>
      </c>
      <c r="D30" s="90" t="n">
        <v>11.4</v>
      </c>
      <c r="E30" s="91" t="n">
        <v>6.7</v>
      </c>
      <c r="F30" s="91" t="n">
        <v>4.87</v>
      </c>
      <c r="G30" s="92" t="n">
        <v>5.14</v>
      </c>
      <c r="H30" s="22" t="n">
        <v>3.24</v>
      </c>
      <c r="I30" s="22" t="n">
        <v>4.61</v>
      </c>
      <c r="J30" s="22" t="n">
        <v>4.1</v>
      </c>
      <c r="K30" s="22" t="n">
        <v>4.38</v>
      </c>
      <c r="L30" s="22" t="n">
        <v>5.41</v>
      </c>
      <c r="M30" s="35" t="s">
        <v>50</v>
      </c>
      <c r="N30" s="35"/>
    </row>
    <row r="31" customFormat="false" ht="15" hidden="false" customHeight="false" outlineLevel="0" collapsed="false">
      <c r="A31" s="22" t="s">
        <v>32</v>
      </c>
      <c r="B31" s="22" t="s">
        <v>27</v>
      </c>
      <c r="C31" s="22" t="n">
        <v>91.05</v>
      </c>
      <c r="D31" s="90" t="n">
        <v>67.75</v>
      </c>
      <c r="E31" s="91" t="n">
        <v>80.06</v>
      </c>
      <c r="F31" s="91" t="n">
        <v>77.79</v>
      </c>
      <c r="G31" s="92" t="n">
        <v>54.12</v>
      </c>
      <c r="H31" s="22" t="n">
        <v>51.96</v>
      </c>
      <c r="I31" s="22" t="n">
        <v>43.93</v>
      </c>
      <c r="J31" s="22" t="n">
        <v>44.19</v>
      </c>
      <c r="K31" s="22" t="n">
        <v>43.27</v>
      </c>
      <c r="L31" s="22" t="n">
        <v>50.8</v>
      </c>
      <c r="M31" s="35" t="s">
        <v>50</v>
      </c>
      <c r="N31" s="35"/>
    </row>
    <row r="32" customFormat="false" ht="15" hidden="false" customHeight="false" outlineLevel="0" collapsed="false">
      <c r="A32" s="84" t="s">
        <v>34</v>
      </c>
      <c r="B32" s="85"/>
      <c r="C32" s="85"/>
      <c r="D32" s="86"/>
      <c r="E32" s="87"/>
      <c r="F32" s="87"/>
      <c r="G32" s="88"/>
      <c r="H32" s="85"/>
      <c r="I32" s="85"/>
      <c r="J32" s="85"/>
      <c r="K32" s="85"/>
      <c r="L32" s="85"/>
      <c r="M32" s="93"/>
      <c r="N32" s="89"/>
    </row>
    <row r="33" customFormat="false" ht="15" hidden="false" customHeight="false" outlineLevel="0" collapsed="false">
      <c r="A33" s="22" t="s">
        <v>43</v>
      </c>
      <c r="B33" s="22" t="s">
        <v>27</v>
      </c>
      <c r="C33" s="22" t="n">
        <v>15.13</v>
      </c>
      <c r="D33" s="90" t="n">
        <v>15.61</v>
      </c>
      <c r="E33" s="91" t="n">
        <v>16.45</v>
      </c>
      <c r="F33" s="91" t="n">
        <v>17.7</v>
      </c>
      <c r="G33" s="92" t="n">
        <v>15.72</v>
      </c>
      <c r="H33" s="22" t="n">
        <v>16.93</v>
      </c>
      <c r="I33" s="22" t="n">
        <v>17.93</v>
      </c>
      <c r="J33" s="22" t="n">
        <v>15.05</v>
      </c>
      <c r="K33" s="22" t="n">
        <v>14.89</v>
      </c>
      <c r="L33" s="22" t="n">
        <v>12.42</v>
      </c>
      <c r="M33" s="94" t="s">
        <v>51</v>
      </c>
      <c r="N33" s="35"/>
    </row>
    <row r="34" customFormat="false" ht="15" hidden="false" customHeight="false" outlineLevel="0" collapsed="false">
      <c r="A34" s="22" t="s">
        <v>44</v>
      </c>
      <c r="B34" s="22" t="s">
        <v>27</v>
      </c>
      <c r="C34" s="22" t="n">
        <v>35.73</v>
      </c>
      <c r="D34" s="90" t="n">
        <v>37</v>
      </c>
      <c r="E34" s="91" t="n">
        <v>45.02</v>
      </c>
      <c r="F34" s="91" t="n">
        <v>47.14</v>
      </c>
      <c r="G34" s="92" t="n">
        <v>44.93</v>
      </c>
      <c r="H34" s="22" t="n">
        <v>54.42</v>
      </c>
      <c r="I34" s="22" t="n">
        <v>42.33</v>
      </c>
      <c r="J34" s="22" t="n">
        <v>42.93</v>
      </c>
      <c r="K34" s="22" t="n">
        <v>44.12</v>
      </c>
      <c r="L34" s="22" t="n">
        <v>44.35</v>
      </c>
      <c r="M34" s="35" t="s">
        <v>50</v>
      </c>
      <c r="N34" s="35"/>
    </row>
    <row r="35" customFormat="false" ht="15" hidden="false" customHeight="false" outlineLevel="0" collapsed="false">
      <c r="A35" s="84" t="s">
        <v>52</v>
      </c>
      <c r="B35" s="85"/>
      <c r="C35" s="85"/>
      <c r="D35" s="86"/>
      <c r="E35" s="87"/>
      <c r="F35" s="87"/>
      <c r="G35" s="88"/>
      <c r="H35" s="85"/>
      <c r="I35" s="85"/>
      <c r="J35" s="85"/>
      <c r="K35" s="85"/>
      <c r="L35" s="85"/>
      <c r="M35" s="85" t="s">
        <v>50</v>
      </c>
      <c r="N35" s="89"/>
    </row>
    <row r="36" customFormat="false" ht="15" hidden="false" customHeight="false" outlineLevel="0" collapsed="false">
      <c r="A36" s="22" t="s">
        <v>46</v>
      </c>
      <c r="B36" s="22" t="s">
        <v>15</v>
      </c>
      <c r="C36" s="22" t="n">
        <v>24698.37</v>
      </c>
      <c r="D36" s="90" t="n">
        <v>33484.72</v>
      </c>
      <c r="E36" s="91" t="n">
        <v>19518.78</v>
      </c>
      <c r="F36" s="91" t="n">
        <v>13532.3</v>
      </c>
      <c r="G36" s="92" t="n">
        <v>13480.51</v>
      </c>
      <c r="H36" s="22" t="n">
        <v>7926.4</v>
      </c>
      <c r="I36" s="22" t="n">
        <v>10478.48</v>
      </c>
      <c r="J36" s="22" t="n">
        <v>8799.34</v>
      </c>
      <c r="K36" s="22" t="n">
        <v>8650.68</v>
      </c>
      <c r="L36" s="22" t="n">
        <v>8851.29</v>
      </c>
      <c r="M36" s="26"/>
      <c r="N36" s="26"/>
    </row>
    <row r="37" customFormat="false" ht="15" hidden="false" customHeight="false" outlineLevel="0" collapsed="false">
      <c r="A37" s="22" t="s">
        <v>47</v>
      </c>
      <c r="B37" s="22" t="s">
        <v>27</v>
      </c>
      <c r="C37" s="22" t="n">
        <v>4.19</v>
      </c>
      <c r="D37" s="90" t="n">
        <v>6.28</v>
      </c>
      <c r="E37" s="91" t="n">
        <v>4.12</v>
      </c>
      <c r="F37" s="91" t="n">
        <v>2.89</v>
      </c>
      <c r="G37" s="92" t="n">
        <v>3.08</v>
      </c>
      <c r="H37" s="22" t="n">
        <v>1.94</v>
      </c>
      <c r="I37" s="22" t="n">
        <v>2.96</v>
      </c>
      <c r="J37" s="22" t="n">
        <v>2.86</v>
      </c>
      <c r="K37" s="22" t="n">
        <v>2.99</v>
      </c>
      <c r="L37" s="22" t="n">
        <v>3.5</v>
      </c>
      <c r="M37" s="35" t="s">
        <v>50</v>
      </c>
      <c r="N37" s="35"/>
    </row>
    <row r="38" customFormat="false" ht="15" hidden="false" customHeight="false" outlineLevel="0" collapsed="false">
      <c r="A38" s="95" t="s">
        <v>39</v>
      </c>
      <c r="B38" s="22" t="s">
        <v>27</v>
      </c>
      <c r="C38" s="22" t="n">
        <v>60.6</v>
      </c>
      <c r="D38" s="90" t="n">
        <v>15.81</v>
      </c>
      <c r="E38" s="91" t="n">
        <v>-21.34</v>
      </c>
      <c r="F38" s="91" t="n">
        <v>12.53</v>
      </c>
      <c r="G38" s="92" t="n">
        <v>32.96</v>
      </c>
      <c r="H38" s="22" t="n">
        <v>3.82</v>
      </c>
      <c r="I38" s="22" t="n">
        <v>-13.48</v>
      </c>
      <c r="J38" s="22" t="n">
        <v>10.68</v>
      </c>
      <c r="K38" s="22" t="n">
        <v>32.44</v>
      </c>
      <c r="L38" s="22" t="s">
        <v>50</v>
      </c>
      <c r="M38" s="22" t="s">
        <v>50</v>
      </c>
      <c r="N38" s="22"/>
    </row>
    <row r="39" customFormat="false" ht="15" hidden="false" customHeight="false" outlineLevel="0" collapsed="false">
      <c r="A39" s="22" t="s">
        <v>48</v>
      </c>
      <c r="B39" s="22" t="s">
        <v>27</v>
      </c>
      <c r="C39" s="22" t="n">
        <v>10.63</v>
      </c>
      <c r="D39" s="90" t="n">
        <v>7.87</v>
      </c>
      <c r="E39" s="91" t="n">
        <v>3.07</v>
      </c>
      <c r="F39" s="91" t="n">
        <v>4.69</v>
      </c>
      <c r="G39" s="92" t="n">
        <v>-0.09</v>
      </c>
      <c r="H39" s="22" t="n">
        <v>10.65</v>
      </c>
      <c r="I39" s="22" t="n">
        <v>6.02</v>
      </c>
      <c r="J39" s="22" t="n">
        <v>10.86</v>
      </c>
      <c r="K39" s="22" t="n">
        <v>10.59</v>
      </c>
      <c r="L39" s="22" t="s">
        <v>50</v>
      </c>
      <c r="M39" s="22" t="s">
        <v>50</v>
      </c>
      <c r="N39" s="22"/>
    </row>
    <row r="44" customFormat="false" ht="15" hidden="false" customHeight="false" outlineLevel="0" collapsed="false">
      <c r="D44" s="2"/>
      <c r="E44" s="2"/>
      <c r="F44" s="2"/>
      <c r="G44" s="2"/>
      <c r="H44" s="2"/>
      <c r="I44" s="2"/>
      <c r="J44" s="2"/>
    </row>
    <row r="56" customFormat="false" ht="15" hidden="false" customHeight="false" outlineLevel="0" collapsed="false">
      <c r="B56" s="96"/>
      <c r="C56" s="96"/>
      <c r="D56" s="96"/>
      <c r="E56" s="96"/>
      <c r="F56" s="96"/>
      <c r="G56" s="96"/>
      <c r="H56" s="96"/>
      <c r="I56" s="96"/>
      <c r="J56" s="96"/>
      <c r="K56" s="96"/>
    </row>
    <row r="57" customFormat="false" ht="15" hidden="false" customHeight="false" outlineLevel="0" collapsed="false">
      <c r="B57" s="96"/>
      <c r="C57" s="96"/>
      <c r="D57" s="96"/>
      <c r="E57" s="96"/>
      <c r="F57" s="96"/>
      <c r="G57" s="96"/>
      <c r="H57" s="96"/>
      <c r="I57" s="96"/>
      <c r="J57" s="96"/>
      <c r="K57" s="96"/>
    </row>
    <row r="59" customFormat="false" ht="15" hidden="false" customHeight="false" outlineLevel="0" collapsed="false">
      <c r="B59" s="96"/>
      <c r="C59" s="96"/>
      <c r="D59" s="96"/>
      <c r="E59" s="96"/>
      <c r="F59" s="96"/>
      <c r="G59" s="96"/>
      <c r="H59" s="96"/>
      <c r="I59" s="96"/>
      <c r="J59" s="96"/>
      <c r="K59" s="96"/>
    </row>
    <row r="60" customFormat="false" ht="15" hidden="false" customHeight="false" outlineLevel="0" collapsed="false">
      <c r="B60" s="96"/>
      <c r="C60" s="96"/>
      <c r="D60" s="96"/>
      <c r="E60" s="96"/>
      <c r="F60" s="96"/>
      <c r="G60" s="96"/>
      <c r="H60" s="96"/>
      <c r="I60" s="96"/>
      <c r="J60" s="96"/>
      <c r="K60" s="96"/>
    </row>
    <row r="61" customFormat="false" ht="15" hidden="false" customHeight="false" outlineLevel="0" collapsed="false">
      <c r="B61" s="96"/>
      <c r="C61" s="96"/>
      <c r="D61" s="96"/>
      <c r="E61" s="96"/>
      <c r="F61" s="96"/>
      <c r="G61" s="96"/>
      <c r="H61" s="96"/>
      <c r="I61" s="96"/>
      <c r="J61" s="96"/>
      <c r="K61" s="96"/>
    </row>
    <row r="67" customFormat="false" ht="15" hidden="false" customHeight="false" outlineLevel="0" collapsed="false">
      <c r="B67" s="96"/>
      <c r="C67" s="96"/>
      <c r="D67" s="96"/>
      <c r="E67" s="96"/>
      <c r="F67" s="96"/>
      <c r="G67" s="96"/>
      <c r="H67" s="96"/>
      <c r="I67" s="96"/>
      <c r="J67" s="96"/>
      <c r="K67" s="96"/>
    </row>
    <row r="68" customFormat="false" ht="15" hidden="false" customHeight="false" outlineLevel="0" collapsed="false">
      <c r="B68" s="96"/>
      <c r="C68" s="96"/>
      <c r="D68" s="96"/>
      <c r="E68" s="96"/>
      <c r="F68" s="96"/>
      <c r="G68" s="96"/>
      <c r="H68" s="96"/>
      <c r="I68" s="96"/>
      <c r="J68" s="96"/>
    </row>
    <row r="69" customFormat="false" ht="15" hidden="false" customHeight="false" outlineLevel="0" collapsed="false">
      <c r="B69" s="96"/>
      <c r="C69" s="96"/>
      <c r="D69" s="96"/>
      <c r="E69" s="96"/>
      <c r="F69" s="96"/>
      <c r="G69" s="96"/>
      <c r="H69" s="96"/>
      <c r="I69" s="96"/>
      <c r="J69" s="96"/>
    </row>
  </sheetData>
  <mergeCells count="13">
    <mergeCell ref="B2:F2"/>
    <mergeCell ref="A3:A11"/>
    <mergeCell ref="B3:H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D44:J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M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2.86"/>
  </cols>
  <sheetData>
    <row r="3" customFormat="false" ht="18.55" hidden="false" customHeight="false" outlineLevel="0" collapsed="false">
      <c r="B3" s="75" t="s">
        <v>53</v>
      </c>
      <c r="C3" s="75"/>
      <c r="D3" s="75"/>
      <c r="E3" s="75"/>
      <c r="F3" s="75"/>
    </row>
    <row r="4" customFormat="false" ht="16.15" hidden="false" customHeight="false" outlineLevel="0" collapsed="false">
      <c r="A4" s="43"/>
      <c r="B4" s="97" t="s">
        <v>1</v>
      </c>
      <c r="C4" s="97"/>
      <c r="D4" s="97"/>
      <c r="E4" s="97"/>
      <c r="F4" s="97"/>
      <c r="G4" s="97"/>
      <c r="H4" s="97"/>
    </row>
    <row r="5" customFormat="false" ht="15" hidden="false" customHeight="false" outlineLevel="0" collapsed="false">
      <c r="A5" s="43"/>
      <c r="B5" s="5" t="s">
        <v>2</v>
      </c>
      <c r="C5" s="5"/>
      <c r="D5" s="5"/>
      <c r="E5" s="5"/>
      <c r="F5" s="5"/>
      <c r="G5" s="5"/>
      <c r="H5" s="6" t="n">
        <f aca="false">AVERAGE(C28:M28)</f>
        <v>15.6</v>
      </c>
    </row>
    <row r="6" customFormat="false" ht="15" hidden="false" customHeight="false" outlineLevel="0" collapsed="false">
      <c r="A6" s="43"/>
      <c r="B6" s="5" t="s">
        <v>3</v>
      </c>
      <c r="C6" s="5"/>
      <c r="D6" s="5"/>
      <c r="E6" s="5"/>
      <c r="F6" s="5"/>
      <c r="G6" s="5"/>
      <c r="H6" s="6" t="n">
        <f aca="false">STDEV(C28:M28)</f>
        <v>4.49341073128197</v>
      </c>
    </row>
    <row r="7" customFormat="false" ht="15" hidden="false" customHeight="false" outlineLevel="0" collapsed="false">
      <c r="A7" s="43"/>
      <c r="B7" s="5" t="s">
        <v>4</v>
      </c>
      <c r="C7" s="5"/>
      <c r="D7" s="5"/>
      <c r="E7" s="5"/>
      <c r="F7" s="5"/>
      <c r="G7" s="5"/>
      <c r="H7" s="6" t="n">
        <f aca="false">(H5-3)/H6</f>
        <v>2.80410600176877</v>
      </c>
    </row>
    <row r="8" customFormat="false" ht="15" hidden="false" customHeight="false" outlineLevel="0" collapsed="false">
      <c r="A8" s="43"/>
      <c r="B8" s="5" t="s">
        <v>5</v>
      </c>
      <c r="C8" s="5"/>
      <c r="D8" s="5"/>
      <c r="E8" s="5"/>
      <c r="F8" s="5"/>
      <c r="G8" s="5"/>
      <c r="H8" s="6" t="n">
        <f aca="false">AVERAGE(D28:I28)</f>
        <v>12.785</v>
      </c>
    </row>
    <row r="9" customFormat="false" ht="15" hidden="false" customHeight="false" outlineLevel="0" collapsed="false">
      <c r="A9" s="43"/>
      <c r="B9" s="5" t="s">
        <v>6</v>
      </c>
      <c r="C9" s="5"/>
      <c r="D9" s="5"/>
      <c r="E9" s="5"/>
      <c r="F9" s="5"/>
      <c r="G9" s="5"/>
      <c r="H9" s="6" t="n">
        <f aca="false">STDEV(D28:I28)</f>
        <v>2.97252586195646</v>
      </c>
    </row>
    <row r="10" customFormat="false" ht="15" hidden="false" customHeight="false" outlineLevel="0" collapsed="false">
      <c r="A10" s="43"/>
      <c r="B10" s="5" t="s">
        <v>7</v>
      </c>
      <c r="C10" s="5"/>
      <c r="D10" s="5"/>
      <c r="E10" s="5"/>
      <c r="F10" s="5"/>
      <c r="G10" s="5"/>
      <c r="H10" s="6" t="n">
        <f aca="false">(H8-3)/H9</f>
        <v>3.2918132438248</v>
      </c>
    </row>
    <row r="11" customFormat="false" ht="15" hidden="false" customHeight="false" outlineLevel="0" collapsed="false">
      <c r="A11" s="43"/>
      <c r="B11" s="5" t="s">
        <v>8</v>
      </c>
      <c r="C11" s="5"/>
      <c r="D11" s="5"/>
      <c r="E11" s="5"/>
      <c r="F11" s="5"/>
      <c r="G11" s="5"/>
      <c r="H11" s="7" t="n">
        <f aca="false">(C20/M20)^(1/10)-1</f>
        <v>0.1814625631651</v>
      </c>
    </row>
    <row r="12" customFormat="false" ht="15" hidden="false" customHeight="false" outlineLevel="0" collapsed="false">
      <c r="A12" s="43"/>
      <c r="B12" s="5" t="s">
        <v>9</v>
      </c>
      <c r="C12" s="5"/>
      <c r="D12" s="5"/>
      <c r="E12" s="5"/>
      <c r="F12" s="5"/>
      <c r="G12" s="5"/>
      <c r="H12" s="8" t="n">
        <v>-19.6</v>
      </c>
    </row>
    <row r="13" customFormat="false" ht="15" hidden="false" customHeight="false" outlineLevel="0" collapsed="false">
      <c r="A13" s="43"/>
      <c r="B13" s="5" t="s">
        <v>10</v>
      </c>
      <c r="C13" s="5"/>
      <c r="D13" s="5"/>
      <c r="E13" s="5"/>
      <c r="F13" s="5"/>
      <c r="G13" s="5"/>
      <c r="H13" s="9" t="n">
        <f aca="false">SLOPE(C31:M31,C15:M15)</f>
        <v>-0.191545454545455</v>
      </c>
    </row>
    <row r="14" customFormat="false" ht="15" hidden="false" customHeight="false" outlineLevel="0" collapsed="false">
      <c r="A14" s="98"/>
    </row>
    <row r="15" customFormat="false" ht="15" hidden="false" customHeight="false" outlineLevel="0" collapsed="false">
      <c r="A15" s="99" t="s">
        <v>11</v>
      </c>
      <c r="B15" s="99" t="s">
        <v>12</v>
      </c>
      <c r="C15" s="99" t="n">
        <v>2025</v>
      </c>
      <c r="D15" s="100" t="n">
        <v>2024</v>
      </c>
      <c r="E15" s="101" t="n">
        <v>2023</v>
      </c>
      <c r="F15" s="101" t="n">
        <v>2022</v>
      </c>
      <c r="G15" s="102" t="n">
        <v>2021</v>
      </c>
      <c r="H15" s="103" t="n">
        <v>2020</v>
      </c>
      <c r="I15" s="103" t="n">
        <v>2019</v>
      </c>
      <c r="J15" s="103" t="n">
        <v>2018</v>
      </c>
      <c r="K15" s="103" t="n">
        <v>2017</v>
      </c>
      <c r="L15" s="103" t="n">
        <v>2016</v>
      </c>
      <c r="M15" s="103" t="n">
        <v>2015</v>
      </c>
    </row>
    <row r="16" customFormat="false" ht="15" hidden="false" customHeight="false" outlineLevel="0" collapsed="false">
      <c r="A16" s="84" t="s">
        <v>13</v>
      </c>
      <c r="B16" s="85"/>
      <c r="C16" s="85"/>
      <c r="D16" s="86"/>
      <c r="E16" s="87"/>
      <c r="F16" s="87"/>
      <c r="G16" s="88"/>
      <c r="H16" s="85"/>
      <c r="I16" s="85"/>
      <c r="J16" s="85"/>
      <c r="K16" s="85"/>
      <c r="L16" s="85"/>
      <c r="M16" s="85"/>
    </row>
    <row r="17" customFormat="false" ht="15" hidden="false" customHeight="false" outlineLevel="0" collapsed="false">
      <c r="A17" s="22" t="s">
        <v>14</v>
      </c>
      <c r="B17" s="22" t="s">
        <v>15</v>
      </c>
      <c r="C17" s="22" t="n">
        <v>1179672</v>
      </c>
      <c r="D17" s="90" t="n">
        <v>930133</v>
      </c>
      <c r="E17" s="91" t="n">
        <v>726723</v>
      </c>
      <c r="F17" s="91" t="n">
        <v>563271</v>
      </c>
      <c r="G17" s="92" t="n">
        <v>449084</v>
      </c>
      <c r="H17" s="22" t="n">
        <v>397502</v>
      </c>
      <c r="I17" s="22" t="n">
        <v>369404</v>
      </c>
      <c r="J17" s="22" t="n">
        <v>315417</v>
      </c>
      <c r="K17" s="22" t="n">
        <v>279187</v>
      </c>
      <c r="L17" s="22" t="n">
        <v>248605</v>
      </c>
      <c r="M17" s="22" t="n">
        <v>224493</v>
      </c>
    </row>
    <row r="18" customFormat="false" ht="15" hidden="false" customHeight="false" outlineLevel="0" collapsed="false">
      <c r="A18" s="22" t="s">
        <v>42</v>
      </c>
      <c r="B18" s="22" t="s">
        <v>15</v>
      </c>
      <c r="C18" s="22" t="n">
        <v>730659</v>
      </c>
      <c r="D18" s="90" t="n">
        <v>623372</v>
      </c>
      <c r="E18" s="91" t="n">
        <v>519452</v>
      </c>
      <c r="F18" s="91" t="n">
        <v>410676</v>
      </c>
      <c r="G18" s="92" t="n">
        <v>321212</v>
      </c>
      <c r="H18" s="22" t="n">
        <v>273063</v>
      </c>
      <c r="I18" s="22" t="n">
        <v>264091</v>
      </c>
      <c r="J18" s="22" t="n">
        <v>238008</v>
      </c>
      <c r="K18" s="22" t="n">
        <v>202559</v>
      </c>
      <c r="L18" s="22" t="n">
        <v>173612</v>
      </c>
      <c r="M18" s="22" t="n">
        <v>147434</v>
      </c>
    </row>
    <row r="19" customFormat="false" ht="15" hidden="false" customHeight="false" outlineLevel="0" collapsed="false">
      <c r="A19" s="22" t="s">
        <v>17</v>
      </c>
      <c r="B19" s="22" t="s">
        <v>15</v>
      </c>
      <c r="C19" s="22" t="n">
        <v>889517</v>
      </c>
      <c r="D19" s="90" t="n">
        <v>689433</v>
      </c>
      <c r="E19" s="91" t="n">
        <v>513909</v>
      </c>
      <c r="F19" s="91" t="n">
        <v>384467</v>
      </c>
      <c r="G19" s="92" t="n">
        <v>314591</v>
      </c>
      <c r="H19" s="22" t="n">
        <v>289054</v>
      </c>
      <c r="I19" s="22" t="n">
        <v>268309</v>
      </c>
      <c r="J19" s="22" t="n">
        <v>233509</v>
      </c>
      <c r="K19" s="22" t="n">
        <v>196224</v>
      </c>
      <c r="L19" s="22" t="n">
        <v>168860</v>
      </c>
      <c r="M19" s="22" t="n">
        <v>143321</v>
      </c>
    </row>
    <row r="20" customFormat="false" ht="15" hidden="false" customHeight="false" outlineLevel="0" collapsed="false">
      <c r="A20" s="22" t="s">
        <v>18</v>
      </c>
      <c r="B20" s="22" t="s">
        <v>15</v>
      </c>
      <c r="C20" s="22" t="n">
        <v>99702</v>
      </c>
      <c r="D20" s="90" t="n">
        <v>75797</v>
      </c>
      <c r="E20" s="91" t="n">
        <v>63782</v>
      </c>
      <c r="F20" s="91" t="n">
        <v>58418</v>
      </c>
      <c r="G20" s="92" t="n">
        <v>54419</v>
      </c>
      <c r="H20" s="22" t="n">
        <v>46955</v>
      </c>
      <c r="I20" s="22" t="n">
        <v>38919</v>
      </c>
      <c r="J20" s="22" t="n">
        <v>31638</v>
      </c>
      <c r="K20" s="22" t="n">
        <v>25991</v>
      </c>
      <c r="L20" s="22" t="n">
        <v>21441</v>
      </c>
      <c r="M20" s="22" t="n">
        <v>18815</v>
      </c>
    </row>
    <row r="21" customFormat="false" ht="15" hidden="false" customHeight="false" outlineLevel="0" collapsed="false">
      <c r="A21" s="84" t="s">
        <v>19</v>
      </c>
      <c r="B21" s="85"/>
      <c r="C21" s="85"/>
      <c r="D21" s="86"/>
      <c r="E21" s="87"/>
      <c r="F21" s="87"/>
      <c r="G21" s="88"/>
      <c r="H21" s="85"/>
      <c r="I21" s="85"/>
      <c r="J21" s="85"/>
      <c r="K21" s="85"/>
      <c r="L21" s="85"/>
      <c r="M21" s="85"/>
    </row>
    <row r="22" customFormat="false" ht="15" hidden="false" customHeight="false" outlineLevel="0" collapsed="false">
      <c r="A22" s="22" t="s">
        <v>20</v>
      </c>
      <c r="B22" s="22" t="s">
        <v>15</v>
      </c>
      <c r="C22" s="22" t="n">
        <v>11778</v>
      </c>
      <c r="D22" s="90" t="n">
        <v>13461</v>
      </c>
      <c r="E22" s="91" t="n">
        <v>17719</v>
      </c>
      <c r="F22" s="91" t="n">
        <v>15235</v>
      </c>
      <c r="G22" s="92" t="n">
        <v>13997</v>
      </c>
      <c r="H22" s="22" t="n">
        <v>11380</v>
      </c>
      <c r="I22" s="22" t="n">
        <v>15038</v>
      </c>
      <c r="J22" s="22" t="n">
        <v>13538</v>
      </c>
      <c r="K22" s="22" t="n">
        <v>12147</v>
      </c>
      <c r="L22" s="22" t="n">
        <v>10806</v>
      </c>
      <c r="M22" s="22" t="n">
        <v>8716</v>
      </c>
    </row>
    <row r="23" customFormat="false" ht="15" hidden="false" customHeight="false" outlineLevel="0" collapsed="false">
      <c r="A23" s="22" t="s">
        <v>21</v>
      </c>
      <c r="B23" s="22" t="s">
        <v>15</v>
      </c>
      <c r="C23" s="22" t="n">
        <v>8233</v>
      </c>
      <c r="D23" s="90" t="n">
        <v>9524</v>
      </c>
      <c r="E23" s="91" t="n">
        <v>6317</v>
      </c>
      <c r="F23" s="91" t="n">
        <v>6152</v>
      </c>
      <c r="G23" s="92" t="n">
        <v>3586</v>
      </c>
      <c r="H23" s="22" t="n">
        <v>2672</v>
      </c>
      <c r="I23" s="22" t="n">
        <v>3279</v>
      </c>
      <c r="J23" s="22" t="n">
        <v>2666</v>
      </c>
      <c r="K23" s="22" t="n">
        <v>2981</v>
      </c>
      <c r="L23" s="22" t="n">
        <v>2661</v>
      </c>
      <c r="M23" s="22" t="n">
        <v>3960</v>
      </c>
    </row>
    <row r="24" customFormat="false" ht="15" hidden="false" customHeight="false" outlineLevel="0" collapsed="false">
      <c r="A24" s="22" t="s">
        <v>22</v>
      </c>
      <c r="B24" s="22" t="s">
        <v>15</v>
      </c>
      <c r="C24" s="22" t="n">
        <v>15809</v>
      </c>
      <c r="D24" s="90" t="n">
        <v>12136</v>
      </c>
      <c r="E24" s="91" t="n">
        <v>7304</v>
      </c>
      <c r="F24" s="91" t="n">
        <v>5763</v>
      </c>
      <c r="G24" s="92" t="n">
        <v>5547</v>
      </c>
      <c r="H24" s="22" t="n">
        <v>4541</v>
      </c>
      <c r="I24" s="22" t="n">
        <v>5646</v>
      </c>
      <c r="J24" s="22" t="n">
        <v>5547</v>
      </c>
      <c r="K24" s="22" t="n">
        <v>5250</v>
      </c>
      <c r="L24" s="22" t="n">
        <v>4460</v>
      </c>
      <c r="M24" s="22" t="n">
        <v>2435</v>
      </c>
    </row>
    <row r="25" customFormat="false" ht="15" hidden="false" customHeight="false" outlineLevel="0" collapsed="false">
      <c r="A25" s="84" t="s">
        <v>23</v>
      </c>
      <c r="B25" s="85"/>
      <c r="C25" s="85"/>
      <c r="D25" s="86"/>
      <c r="E25" s="87"/>
      <c r="F25" s="87"/>
      <c r="G25" s="88"/>
      <c r="H25" s="85"/>
      <c r="I25" s="85"/>
      <c r="J25" s="85"/>
      <c r="K25" s="85"/>
      <c r="L25" s="85"/>
      <c r="M25" s="85"/>
    </row>
    <row r="26" customFormat="false" ht="15" hidden="false" customHeight="false" outlineLevel="0" collapsed="false">
      <c r="A26" s="22" t="s">
        <v>24</v>
      </c>
      <c r="B26" s="22" t="s">
        <v>25</v>
      </c>
      <c r="C26" s="22" t="n">
        <v>7.94</v>
      </c>
      <c r="D26" s="90" t="n">
        <v>6.1</v>
      </c>
      <c r="E26" s="91" t="n">
        <v>4.13</v>
      </c>
      <c r="F26" s="91" t="n">
        <v>3.58</v>
      </c>
      <c r="G26" s="92" t="n">
        <v>3.71</v>
      </c>
      <c r="H26" s="22" t="n">
        <v>3.42</v>
      </c>
      <c r="I26" s="22" t="n">
        <v>4.26</v>
      </c>
      <c r="J26" s="22" t="n">
        <v>4.5</v>
      </c>
      <c r="K26" s="22" t="n">
        <v>4.91</v>
      </c>
      <c r="L26" s="22" t="n">
        <v>5.23</v>
      </c>
      <c r="M26" s="22" t="n">
        <v>3.43</v>
      </c>
    </row>
    <row r="27" customFormat="false" ht="15" hidden="false" customHeight="false" outlineLevel="0" collapsed="false">
      <c r="A27" s="22" t="s">
        <v>26</v>
      </c>
      <c r="B27" s="22" t="s">
        <v>27</v>
      </c>
      <c r="C27" s="22" t="n">
        <v>1.5</v>
      </c>
      <c r="D27" s="90" t="n">
        <v>1.46</v>
      </c>
      <c r="E27" s="91" t="n">
        <v>1.13</v>
      </c>
      <c r="F27" s="91" t="n">
        <v>1.14</v>
      </c>
      <c r="G27" s="92" t="n">
        <v>1.31</v>
      </c>
      <c r="H27" s="22" t="n">
        <v>1.18</v>
      </c>
      <c r="I27" s="22" t="n">
        <v>1.64</v>
      </c>
      <c r="J27" s="22" t="n">
        <v>1.87</v>
      </c>
      <c r="K27" s="22" t="n">
        <v>2.02</v>
      </c>
      <c r="L27" s="22" t="n">
        <v>1.89</v>
      </c>
      <c r="M27" s="22" t="n">
        <v>1.13</v>
      </c>
    </row>
    <row r="28" customFormat="false" ht="15" hidden="false" customHeight="false" outlineLevel="0" collapsed="false">
      <c r="A28" s="22" t="s">
        <v>28</v>
      </c>
      <c r="B28" s="22" t="s">
        <v>27</v>
      </c>
      <c r="C28" s="22" t="n">
        <v>18.02</v>
      </c>
      <c r="D28" s="90" t="n">
        <v>17.36</v>
      </c>
      <c r="E28" s="91" t="n">
        <v>11.95</v>
      </c>
      <c r="F28" s="91" t="n">
        <v>10.22</v>
      </c>
      <c r="G28" s="92" t="n">
        <v>11</v>
      </c>
      <c r="H28" s="22" t="n">
        <v>10.58</v>
      </c>
      <c r="I28" s="22" t="n">
        <v>15.6</v>
      </c>
      <c r="J28" s="22" t="n">
        <v>19.25</v>
      </c>
      <c r="K28" s="22" t="n">
        <v>22.14</v>
      </c>
      <c r="L28" s="22" t="n">
        <v>22.16</v>
      </c>
      <c r="M28" s="22" t="n">
        <v>13.32</v>
      </c>
    </row>
    <row r="29" customFormat="false" ht="15" hidden="false" customHeight="false" outlineLevel="0" collapsed="false">
      <c r="A29" s="84" t="s">
        <v>29</v>
      </c>
      <c r="B29" s="85"/>
      <c r="C29" s="85"/>
      <c r="D29" s="86"/>
      <c r="E29" s="87"/>
      <c r="F29" s="87"/>
      <c r="G29" s="88"/>
      <c r="H29" s="85"/>
      <c r="I29" s="85"/>
      <c r="J29" s="85"/>
      <c r="K29" s="85"/>
      <c r="L29" s="85"/>
      <c r="M29" s="85"/>
    </row>
    <row r="30" customFormat="false" ht="15" hidden="false" customHeight="false" outlineLevel="0" collapsed="false">
      <c r="A30" s="22" t="s">
        <v>33</v>
      </c>
      <c r="B30" s="22" t="s">
        <v>27</v>
      </c>
      <c r="C30" s="22" t="n">
        <v>63.48</v>
      </c>
      <c r="D30" s="90" t="n">
        <v>70.75</v>
      </c>
      <c r="E30" s="91" t="n">
        <v>74.29</v>
      </c>
      <c r="F30" s="91" t="n">
        <v>79.94</v>
      </c>
      <c r="G30" s="92" t="n">
        <v>81.86</v>
      </c>
      <c r="H30" s="22" t="n">
        <v>76.69</v>
      </c>
      <c r="I30" s="22" t="n">
        <v>82.1</v>
      </c>
      <c r="J30" s="22" t="n">
        <v>82.78</v>
      </c>
      <c r="K30" s="22" t="n">
        <v>83.39</v>
      </c>
      <c r="L30" s="22" t="n">
        <v>83.47</v>
      </c>
      <c r="M30" s="22" t="n">
        <v>82.24</v>
      </c>
    </row>
    <row r="31" customFormat="false" ht="15" hidden="false" customHeight="false" outlineLevel="0" collapsed="false">
      <c r="A31" s="22" t="s">
        <v>30</v>
      </c>
      <c r="B31" s="22" t="s">
        <v>27</v>
      </c>
      <c r="C31" s="22" t="n">
        <v>2.27</v>
      </c>
      <c r="D31" s="90" t="n">
        <v>2.63</v>
      </c>
      <c r="E31" s="91" t="n">
        <v>3.38</v>
      </c>
      <c r="F31" s="91" t="n">
        <v>3.72</v>
      </c>
      <c r="G31" s="92" t="n">
        <v>3.9</v>
      </c>
      <c r="H31" s="22" t="n">
        <v>2.93</v>
      </c>
      <c r="I31" s="22" t="n">
        <v>3.99</v>
      </c>
      <c r="J31" s="22" t="n">
        <v>3.1</v>
      </c>
      <c r="K31" s="22" t="n">
        <v>3.56</v>
      </c>
      <c r="L31" s="22" t="n">
        <v>3.4</v>
      </c>
      <c r="M31" s="22" t="n">
        <v>5.99</v>
      </c>
    </row>
    <row r="32" customFormat="false" ht="15" hidden="false" customHeight="false" outlineLevel="0" collapsed="false">
      <c r="A32" s="22" t="s">
        <v>32</v>
      </c>
      <c r="B32" s="22" t="s">
        <v>27</v>
      </c>
      <c r="C32" s="22" t="n">
        <v>120</v>
      </c>
      <c r="D32" s="90" t="n">
        <v>120</v>
      </c>
      <c r="E32" s="91" t="n">
        <v>102</v>
      </c>
      <c r="F32" s="91" t="n">
        <v>99</v>
      </c>
      <c r="G32" s="92" t="n">
        <v>108</v>
      </c>
      <c r="H32" s="22" t="n">
        <v>114</v>
      </c>
      <c r="I32" s="22" t="n">
        <v>65</v>
      </c>
      <c r="J32" s="22" t="n">
        <v>76</v>
      </c>
      <c r="K32" s="22" t="n">
        <v>86</v>
      </c>
      <c r="L32" s="22" t="n">
        <v>94</v>
      </c>
      <c r="M32" s="22" t="n">
        <v>77.94</v>
      </c>
    </row>
    <row r="33" customFormat="false" ht="15" hidden="false" customHeight="false" outlineLevel="0" collapsed="false">
      <c r="A33" s="84" t="s">
        <v>34</v>
      </c>
      <c r="B33" s="85"/>
      <c r="C33" s="104"/>
      <c r="D33" s="105"/>
      <c r="E33" s="106"/>
      <c r="F33" s="106"/>
      <c r="G33" s="107"/>
      <c r="H33" s="104"/>
      <c r="I33" s="104"/>
      <c r="J33" s="104"/>
      <c r="K33" s="104"/>
      <c r="L33" s="104"/>
      <c r="M33" s="85"/>
    </row>
    <row r="34" customFormat="false" ht="15" hidden="false" customHeight="false" outlineLevel="0" collapsed="false">
      <c r="A34" s="22" t="s">
        <v>43</v>
      </c>
      <c r="B34" s="22" t="s">
        <v>27</v>
      </c>
      <c r="C34" s="22" t="n">
        <v>19.64</v>
      </c>
      <c r="D34" s="90" t="n">
        <v>19.05</v>
      </c>
      <c r="E34" s="91" t="n">
        <v>18.6</v>
      </c>
      <c r="F34" s="91" t="n">
        <v>19.38</v>
      </c>
      <c r="G34" s="92" t="n">
        <v>20.42</v>
      </c>
      <c r="H34" s="22" t="n">
        <v>15.13</v>
      </c>
      <c r="I34" s="22" t="n">
        <v>16.16</v>
      </c>
      <c r="J34" s="22" t="n">
        <v>15.7</v>
      </c>
      <c r="K34" s="22" t="n">
        <v>11.97</v>
      </c>
      <c r="L34" s="22" t="n">
        <v>12.06</v>
      </c>
      <c r="M34" s="22" t="n">
        <v>12.29</v>
      </c>
    </row>
    <row r="35" customFormat="false" ht="15" hidden="false" customHeight="false" outlineLevel="0" collapsed="false">
      <c r="A35" s="22" t="s">
        <v>44</v>
      </c>
      <c r="B35" s="22" t="s">
        <v>27</v>
      </c>
      <c r="C35" s="22" t="n">
        <v>52</v>
      </c>
      <c r="D35" s="90" t="n">
        <v>57</v>
      </c>
      <c r="E35" s="91" t="n">
        <v>66</v>
      </c>
      <c r="F35" s="91" t="n">
        <v>70</v>
      </c>
      <c r="G35" s="92" t="n">
        <v>68</v>
      </c>
      <c r="H35" s="22" t="n">
        <v>71</v>
      </c>
      <c r="I35" s="22" t="n">
        <v>68</v>
      </c>
      <c r="J35" s="22" t="n">
        <v>64</v>
      </c>
      <c r="K35" s="22" t="n">
        <v>60</v>
      </c>
      <c r="L35" s="22" t="n">
        <v>57</v>
      </c>
      <c r="M35" s="22" t="n">
        <v>56.29</v>
      </c>
    </row>
    <row r="36" customFormat="false" ht="15" hidden="false" customHeight="false" outlineLevel="0" collapsed="false">
      <c r="A36" s="84" t="s">
        <v>52</v>
      </c>
      <c r="B36" s="85"/>
      <c r="C36" s="108"/>
      <c r="D36" s="109"/>
      <c r="E36" s="110"/>
      <c r="F36" s="110"/>
      <c r="G36" s="111"/>
      <c r="H36" s="108"/>
      <c r="I36" s="108"/>
      <c r="J36" s="108"/>
      <c r="K36" s="108"/>
      <c r="L36" s="108"/>
      <c r="M36" s="85"/>
    </row>
    <row r="37" customFormat="false" ht="15" hidden="false" customHeight="false" outlineLevel="0" collapsed="false">
      <c r="A37" s="22" t="s">
        <v>46</v>
      </c>
      <c r="B37" s="22" t="s">
        <v>15</v>
      </c>
      <c r="C37" s="22" t="n">
        <v>16587</v>
      </c>
      <c r="D37" s="90" t="n">
        <v>16394.7</v>
      </c>
      <c r="E37" s="91" t="n">
        <v>17557.5</v>
      </c>
      <c r="F37" s="91" t="n">
        <v>15277.2</v>
      </c>
      <c r="G37" s="92" t="n">
        <v>12527.3</v>
      </c>
      <c r="H37" s="22" t="n">
        <v>8000.8</v>
      </c>
      <c r="I37" s="22" t="n">
        <v>10537.2</v>
      </c>
      <c r="J37" s="22" t="n">
        <v>7378.3</v>
      </c>
      <c r="K37" s="22" t="n">
        <v>7211.1</v>
      </c>
      <c r="L37" s="22" t="n">
        <v>5902.8</v>
      </c>
      <c r="M37" s="22" t="n">
        <v>8831.3</v>
      </c>
    </row>
    <row r="38" customFormat="false" ht="15" hidden="false" customHeight="false" outlineLevel="0" collapsed="false">
      <c r="A38" s="22" t="s">
        <v>47</v>
      </c>
      <c r="B38" s="22" t="s">
        <v>27</v>
      </c>
      <c r="C38" s="22" t="n">
        <v>1.41</v>
      </c>
      <c r="D38" s="90" t="n">
        <v>1.76</v>
      </c>
      <c r="E38" s="91" t="n">
        <v>2.42</v>
      </c>
      <c r="F38" s="91" t="n">
        <v>2.71</v>
      </c>
      <c r="G38" s="92" t="n">
        <v>2.79</v>
      </c>
      <c r="H38" s="22" t="n">
        <v>2.01</v>
      </c>
      <c r="I38" s="22" t="n">
        <v>2.85</v>
      </c>
      <c r="J38" s="22" t="n">
        <v>2.34</v>
      </c>
      <c r="K38" s="22" t="n">
        <v>2.58</v>
      </c>
      <c r="L38" s="22" t="n">
        <v>2.37</v>
      </c>
      <c r="M38" s="22" t="n">
        <v>3.93</v>
      </c>
    </row>
    <row r="39" customFormat="false" ht="15" hidden="false" customHeight="false" outlineLevel="0" collapsed="false">
      <c r="A39" s="95" t="s">
        <v>39</v>
      </c>
      <c r="B39" s="22" t="s">
        <v>27</v>
      </c>
      <c r="C39" s="22" t="n">
        <v>30.26</v>
      </c>
      <c r="D39" s="90" t="n">
        <v>66.16</v>
      </c>
      <c r="E39" s="91" t="n">
        <v>26.75</v>
      </c>
      <c r="F39" s="91" t="n">
        <v>3.89</v>
      </c>
      <c r="G39" s="92" t="n">
        <v>22.16</v>
      </c>
      <c r="H39" s="22" t="n">
        <v>-19.57</v>
      </c>
      <c r="I39" s="22" t="n">
        <v>1.78</v>
      </c>
      <c r="J39" s="22" t="n">
        <v>5.66</v>
      </c>
      <c r="K39" s="22" t="n">
        <v>17.71</v>
      </c>
      <c r="L39" s="22" t="n">
        <v>83.16</v>
      </c>
      <c r="M39" s="22" t="s">
        <v>50</v>
      </c>
    </row>
    <row r="40" customFormat="false" ht="15" hidden="false" customHeight="false" outlineLevel="0" collapsed="false">
      <c r="A40" s="22" t="s">
        <v>48</v>
      </c>
      <c r="B40" s="22" t="s">
        <v>27</v>
      </c>
      <c r="C40" s="22" t="n">
        <v>31.54</v>
      </c>
      <c r="D40" s="90" t="n">
        <v>18.84</v>
      </c>
      <c r="E40" s="91" t="n">
        <v>9.18</v>
      </c>
      <c r="F40" s="91" t="n">
        <v>7.35</v>
      </c>
      <c r="G40" s="92" t="n">
        <v>15.89</v>
      </c>
      <c r="H40" s="22" t="n">
        <v>20.65</v>
      </c>
      <c r="I40" s="22" t="n">
        <v>23.02</v>
      </c>
      <c r="J40" s="22" t="n">
        <v>21.73</v>
      </c>
      <c r="K40" s="22" t="n">
        <v>21.22</v>
      </c>
      <c r="L40" s="22" t="n">
        <v>13.96</v>
      </c>
      <c r="M40" s="22" t="s">
        <v>50</v>
      </c>
    </row>
    <row r="59" customFormat="false" ht="15" hidden="false" customHeight="false" outlineLevel="0" collapsed="false"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</row>
    <row r="60" customFormat="false" ht="15" hidden="false" customHeight="false" outlineLevel="0" collapsed="false"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</row>
    <row r="62" customFormat="false" ht="15" hidden="false" customHeight="false" outlineLevel="0" collapsed="false"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</row>
    <row r="63" customFormat="false" ht="15" hidden="false" customHeight="false" outlineLevel="0" collapsed="false"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</row>
    <row r="64" customFormat="false" ht="15" hidden="false" customHeight="false" outlineLevel="0" collapsed="false"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96"/>
    </row>
    <row r="65" customFormat="false" ht="15" hidden="false" customHeight="false" outlineLevel="0" collapsed="false">
      <c r="B65" s="96"/>
      <c r="C65" s="96"/>
      <c r="D65" s="96"/>
      <c r="E65" s="96"/>
      <c r="F65" s="96"/>
      <c r="G65" s="96"/>
      <c r="H65" s="96"/>
      <c r="I65" s="96"/>
      <c r="J65" s="96"/>
      <c r="K65" s="96"/>
    </row>
    <row r="66" customFormat="false" ht="15" hidden="false" customHeight="false" outlineLevel="0" collapsed="false"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</row>
    <row r="67" customFormat="false" ht="15" hidden="false" customHeight="false" outlineLevel="0" collapsed="false"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</row>
    <row r="68" customFormat="false" ht="15" hidden="false" customHeight="false" outlineLevel="0" collapsed="false">
      <c r="B68" s="112"/>
      <c r="C68" s="112"/>
      <c r="D68" s="112"/>
      <c r="E68" s="112"/>
      <c r="F68" s="112"/>
      <c r="G68" s="112"/>
      <c r="H68" s="112"/>
      <c r="I68" s="112"/>
      <c r="J68" s="112"/>
      <c r="K68" s="112"/>
    </row>
    <row r="70" customFormat="false" ht="15" hidden="false" customHeight="false" outlineLevel="0" collapsed="false"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</row>
    <row r="71" customFormat="false" ht="15" hidden="false" customHeight="false" outlineLevel="0" collapsed="false">
      <c r="B71" s="96"/>
      <c r="C71" s="96"/>
      <c r="D71" s="96"/>
      <c r="E71" s="96"/>
      <c r="F71" s="96"/>
      <c r="G71" s="96"/>
      <c r="H71" s="96"/>
      <c r="I71" s="96"/>
      <c r="J71" s="96"/>
      <c r="K71" s="96"/>
    </row>
    <row r="72" customFormat="false" ht="15" hidden="false" customHeight="false" outlineLevel="0" collapsed="false">
      <c r="B72" s="96"/>
      <c r="C72" s="96"/>
      <c r="D72" s="96"/>
      <c r="E72" s="96"/>
      <c r="F72" s="96"/>
      <c r="G72" s="96"/>
      <c r="H72" s="96"/>
      <c r="I72" s="96"/>
      <c r="J72" s="96"/>
      <c r="K72" s="96"/>
    </row>
  </sheetData>
  <mergeCells count="12">
    <mergeCell ref="B3:F3"/>
    <mergeCell ref="A4:A13"/>
    <mergeCell ref="B4:H4"/>
    <mergeCell ref="B5:G5"/>
    <mergeCell ref="B6:G6"/>
    <mergeCell ref="B7:G7"/>
    <mergeCell ref="B8:G8"/>
    <mergeCell ref="B9:G9"/>
    <mergeCell ref="B10:G10"/>
    <mergeCell ref="B11:G11"/>
    <mergeCell ref="B12:G12"/>
    <mergeCell ref="B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0"/>
  </cols>
  <sheetData>
    <row r="2" customFormat="false" ht="18.55" hidden="false" customHeight="false" outlineLevel="0" collapsed="false">
      <c r="B2" s="75" t="s">
        <v>54</v>
      </c>
      <c r="C2" s="75"/>
      <c r="D2" s="75"/>
      <c r="E2" s="75"/>
      <c r="F2" s="75"/>
    </row>
    <row r="3" customFormat="false" ht="16.15" hidden="false" customHeight="false" outlineLevel="0" collapsed="false">
      <c r="A3" s="43"/>
      <c r="B3" s="113" t="s">
        <v>1</v>
      </c>
      <c r="C3" s="113"/>
      <c r="D3" s="113"/>
      <c r="E3" s="113"/>
      <c r="F3" s="113"/>
      <c r="G3" s="113"/>
      <c r="H3" s="113"/>
    </row>
    <row r="4" customFormat="false" ht="15" hidden="false" customHeight="false" outlineLevel="0" collapsed="false">
      <c r="A4" s="43"/>
      <c r="B4" s="5" t="s">
        <v>2</v>
      </c>
      <c r="C4" s="5"/>
      <c r="D4" s="5"/>
      <c r="E4" s="5"/>
      <c r="F4" s="5"/>
      <c r="G4" s="5"/>
      <c r="H4" s="7" t="n">
        <f aca="false">AVERAGE(C28:M28)</f>
        <v>0.157545454545455</v>
      </c>
    </row>
    <row r="5" customFormat="false" ht="15" hidden="false" customHeight="false" outlineLevel="0" collapsed="false">
      <c r="A5" s="43"/>
      <c r="B5" s="5" t="s">
        <v>3</v>
      </c>
      <c r="C5" s="5"/>
      <c r="D5" s="5"/>
      <c r="E5" s="5"/>
      <c r="F5" s="5"/>
      <c r="G5" s="5"/>
      <c r="H5" s="7" t="n">
        <f aca="false">STDEV(C28:M28)</f>
        <v>0.0348664986379867</v>
      </c>
    </row>
    <row r="6" customFormat="false" ht="15" hidden="false" customHeight="false" outlineLevel="0" collapsed="false">
      <c r="A6" s="43"/>
      <c r="B6" s="5" t="s">
        <v>4</v>
      </c>
      <c r="C6" s="5"/>
      <c r="D6" s="5"/>
      <c r="E6" s="5"/>
      <c r="F6" s="5"/>
      <c r="G6" s="5"/>
      <c r="H6" s="6" t="n">
        <f aca="false">(H4-0.03)/H5</f>
        <v>3.65810905963741</v>
      </c>
    </row>
    <row r="7" customFormat="false" ht="15" hidden="false" customHeight="false" outlineLevel="0" collapsed="false">
      <c r="A7" s="43"/>
      <c r="B7" s="5" t="s">
        <v>5</v>
      </c>
      <c r="C7" s="5"/>
      <c r="D7" s="5"/>
      <c r="E7" s="5"/>
      <c r="F7" s="5"/>
      <c r="G7" s="5"/>
      <c r="H7" s="7" t="n">
        <f aca="false">AVERAGE(D28:I28)</f>
        <v>0.155833333333333</v>
      </c>
    </row>
    <row r="8" customFormat="false" ht="15" hidden="false" customHeight="false" outlineLevel="0" collapsed="false">
      <c r="A8" s="43"/>
      <c r="B8" s="5" t="s">
        <v>6</v>
      </c>
      <c r="C8" s="5"/>
      <c r="D8" s="5"/>
      <c r="E8" s="5"/>
      <c r="F8" s="5"/>
      <c r="G8" s="5"/>
      <c r="H8" s="7" t="n">
        <f aca="false">STDEV(D28:I28)</f>
        <v>0.0330418926011611</v>
      </c>
    </row>
    <row r="9" customFormat="false" ht="15" hidden="false" customHeight="false" outlineLevel="0" collapsed="false">
      <c r="A9" s="43"/>
      <c r="B9" s="5" t="s">
        <v>7</v>
      </c>
      <c r="C9" s="5"/>
      <c r="D9" s="5"/>
      <c r="E9" s="5"/>
      <c r="F9" s="5"/>
      <c r="G9" s="5"/>
      <c r="H9" s="6" t="n">
        <f aca="false">(H7-0.03)/H8</f>
        <v>3.80829678409255</v>
      </c>
    </row>
    <row r="10" customFormat="false" ht="15" hidden="false" customHeight="false" outlineLevel="0" collapsed="false">
      <c r="A10" s="43"/>
      <c r="B10" s="5" t="s">
        <v>8</v>
      </c>
      <c r="C10" s="5"/>
      <c r="D10" s="5"/>
      <c r="E10" s="5"/>
      <c r="F10" s="5"/>
      <c r="G10" s="5"/>
      <c r="H10" s="7" t="n">
        <f aca="false">(C20/M20)^(1/10)-1</f>
        <v>0.136196627683645</v>
      </c>
    </row>
    <row r="11" customFormat="false" ht="15" hidden="false" customHeight="false" outlineLevel="0" collapsed="false">
      <c r="A11" s="43"/>
      <c r="B11" s="5" t="s">
        <v>9</v>
      </c>
      <c r="C11" s="5"/>
      <c r="D11" s="5"/>
      <c r="E11" s="5"/>
      <c r="F11" s="5"/>
      <c r="G11" s="5"/>
      <c r="H11" s="8" t="n">
        <v>-41.2</v>
      </c>
    </row>
    <row r="12" customFormat="false" ht="15" hidden="false" customHeight="false" outlineLevel="0" collapsed="false">
      <c r="A12" s="43"/>
      <c r="B12" s="5" t="s">
        <v>10</v>
      </c>
      <c r="C12" s="5"/>
      <c r="D12" s="5"/>
      <c r="E12" s="5"/>
      <c r="F12" s="5"/>
      <c r="G12" s="5"/>
      <c r="H12" s="9" t="n">
        <f aca="false">SLOPE(C31:M31,C15:M15)*100</f>
        <v>0.194545454545455</v>
      </c>
    </row>
    <row r="13" customFormat="false" ht="15" hidden="false" customHeight="false" outlineLevel="0" collapsed="false">
      <c r="A13" s="43"/>
    </row>
    <row r="15" customFormat="false" ht="15" hidden="false" customHeight="false" outlineLevel="0" collapsed="false">
      <c r="A15" s="114" t="s">
        <v>11</v>
      </c>
      <c r="B15" s="114" t="s">
        <v>12</v>
      </c>
      <c r="C15" s="114" t="n">
        <v>2025</v>
      </c>
      <c r="D15" s="115" t="n">
        <v>2024</v>
      </c>
      <c r="E15" s="116" t="n">
        <v>2023</v>
      </c>
      <c r="F15" s="116" t="n">
        <v>2022</v>
      </c>
      <c r="G15" s="117" t="n">
        <v>2021</v>
      </c>
      <c r="H15" s="118" t="n">
        <v>2020</v>
      </c>
      <c r="I15" s="118" t="n">
        <v>2019</v>
      </c>
      <c r="J15" s="118" t="n">
        <v>2018</v>
      </c>
      <c r="K15" s="118" t="n">
        <v>2017</v>
      </c>
      <c r="L15" s="118" t="n">
        <v>2016</v>
      </c>
      <c r="M15" s="118" t="n">
        <v>2015</v>
      </c>
    </row>
    <row r="16" customFormat="false" ht="15" hidden="false" customHeight="false" outlineLevel="0" collapsed="false">
      <c r="A16" s="119" t="s">
        <v>55</v>
      </c>
      <c r="B16" s="120"/>
      <c r="C16" s="120"/>
      <c r="D16" s="121"/>
      <c r="E16" s="122"/>
      <c r="F16" s="122"/>
      <c r="G16" s="123"/>
      <c r="H16" s="120"/>
      <c r="I16" s="120"/>
      <c r="J16" s="120"/>
      <c r="K16" s="120"/>
      <c r="L16" s="120"/>
      <c r="M16" s="120"/>
    </row>
    <row r="17" customFormat="false" ht="15" hidden="false" customHeight="false" outlineLevel="0" collapsed="false">
      <c r="A17" s="22" t="s">
        <v>14</v>
      </c>
      <c r="B17" s="22" t="s">
        <v>15</v>
      </c>
      <c r="C17" s="124" t="n">
        <v>817797.6</v>
      </c>
      <c r="D17" s="125" t="n">
        <v>679875.5</v>
      </c>
      <c r="E17" s="126" t="n">
        <v>593883.1</v>
      </c>
      <c r="F17" s="126" t="n">
        <v>555473.6</v>
      </c>
      <c r="G17" s="127" t="n">
        <v>514399.8</v>
      </c>
      <c r="H17" s="124" t="n">
        <v>472355.4</v>
      </c>
      <c r="I17" s="124" t="n">
        <v>390362</v>
      </c>
      <c r="J17" s="124" t="n">
        <v>346468.8</v>
      </c>
      <c r="K17" s="124" t="n">
        <v>311906.8</v>
      </c>
      <c r="L17" s="124" t="n">
        <v>264797.4</v>
      </c>
      <c r="M17" s="124" t="n">
        <v>244057.6</v>
      </c>
    </row>
    <row r="18" customFormat="false" ht="15" hidden="false" customHeight="false" outlineLevel="0" collapsed="false">
      <c r="A18" s="22" t="s">
        <v>16</v>
      </c>
      <c r="B18" s="22" t="s">
        <v>15</v>
      </c>
      <c r="C18" s="124" t="n">
        <v>450503.8</v>
      </c>
      <c r="D18" s="125" t="n">
        <v>428689.4</v>
      </c>
      <c r="E18" s="126" t="n">
        <v>412073</v>
      </c>
      <c r="F18" s="126" t="n">
        <v>364000.8</v>
      </c>
      <c r="G18" s="127" t="n">
        <v>319448.1</v>
      </c>
      <c r="H18" s="124" t="n">
        <v>273382.9</v>
      </c>
      <c r="I18" s="124" t="n">
        <v>256239.7</v>
      </c>
      <c r="J18" s="124" t="n">
        <v>231553.9</v>
      </c>
      <c r="K18" s="124" t="n">
        <v>207257.4</v>
      </c>
      <c r="L18" s="124" t="n">
        <v>173397.8</v>
      </c>
      <c r="M18" s="124" t="n">
        <v>152270</v>
      </c>
    </row>
    <row r="19" customFormat="false" ht="15" hidden="false" customHeight="false" outlineLevel="0" collapsed="false">
      <c r="A19" s="22" t="s">
        <v>17</v>
      </c>
      <c r="B19" s="22" t="s">
        <v>15</v>
      </c>
      <c r="C19" s="124" t="n">
        <v>622057.8</v>
      </c>
      <c r="D19" s="125" t="n">
        <v>521872.5</v>
      </c>
      <c r="E19" s="126" t="n">
        <v>472590.1</v>
      </c>
      <c r="F19" s="126" t="n">
        <v>438131.3</v>
      </c>
      <c r="G19" s="127" t="n">
        <v>401500.3</v>
      </c>
      <c r="H19" s="124" t="n">
        <v>362611</v>
      </c>
      <c r="I19" s="124" t="n">
        <v>302159.2</v>
      </c>
      <c r="J19" s="124" t="n">
        <v>262467.7</v>
      </c>
      <c r="K19" s="124" t="n">
        <v>233796.4</v>
      </c>
      <c r="L19" s="124" t="n">
        <v>207234</v>
      </c>
      <c r="M19" s="124" t="n">
        <v>186765</v>
      </c>
    </row>
    <row r="20" customFormat="false" ht="15" hidden="false" customHeight="false" outlineLevel="0" collapsed="false">
      <c r="A20" s="22" t="s">
        <v>18</v>
      </c>
      <c r="B20" s="22" t="s">
        <v>15</v>
      </c>
      <c r="C20" s="124" t="n">
        <v>60070.5</v>
      </c>
      <c r="D20" s="125" t="n">
        <v>51608.2</v>
      </c>
      <c r="E20" s="126" t="n">
        <v>48172.8</v>
      </c>
      <c r="F20" s="126" t="n">
        <v>41638.8</v>
      </c>
      <c r="G20" s="127" t="n">
        <v>36966.4</v>
      </c>
      <c r="H20" s="124" t="n">
        <v>32256.7</v>
      </c>
      <c r="I20" s="124" t="n">
        <v>27443.3</v>
      </c>
      <c r="J20" s="124" t="n">
        <v>23086</v>
      </c>
      <c r="K20" s="124" t="n">
        <v>19482.2</v>
      </c>
      <c r="L20" s="124" t="n">
        <v>17672.7</v>
      </c>
      <c r="M20" s="124" t="n">
        <v>16754.3</v>
      </c>
    </row>
    <row r="21" customFormat="false" ht="15" hidden="false" customHeight="false" outlineLevel="0" collapsed="false">
      <c r="A21" s="119" t="s">
        <v>56</v>
      </c>
      <c r="B21" s="120"/>
      <c r="C21" s="120"/>
      <c r="D21" s="121"/>
      <c r="E21" s="122"/>
      <c r="F21" s="122"/>
      <c r="G21" s="123"/>
      <c r="H21" s="120"/>
      <c r="I21" s="120"/>
      <c r="J21" s="120"/>
      <c r="K21" s="120"/>
      <c r="L21" s="120"/>
      <c r="M21" s="120"/>
    </row>
    <row r="22" customFormat="false" ht="15" hidden="false" customHeight="false" outlineLevel="0" collapsed="false">
      <c r="A22" s="22" t="s">
        <v>20</v>
      </c>
      <c r="B22" s="22" t="s">
        <v>15</v>
      </c>
      <c r="C22" s="124" t="n">
        <v>19871.9</v>
      </c>
      <c r="D22" s="125" t="n">
        <v>29256.2</v>
      </c>
      <c r="E22" s="91" t="s">
        <v>50</v>
      </c>
      <c r="F22" s="91" t="s">
        <v>50</v>
      </c>
      <c r="G22" s="92" t="s">
        <v>50</v>
      </c>
      <c r="H22" s="124" t="n">
        <v>14129.7</v>
      </c>
      <c r="I22" s="124" t="n">
        <v>17784</v>
      </c>
      <c r="J22" s="22" t="s">
        <v>50</v>
      </c>
      <c r="K22" s="22" t="s">
        <v>50</v>
      </c>
      <c r="L22" s="124" t="n">
        <v>9963.5</v>
      </c>
      <c r="M22" s="124" t="n">
        <v>9788</v>
      </c>
    </row>
    <row r="23" customFormat="false" ht="15" hidden="false" customHeight="false" outlineLevel="0" collapsed="false">
      <c r="A23" s="22" t="s">
        <v>21</v>
      </c>
      <c r="B23" s="22" t="s">
        <v>15</v>
      </c>
      <c r="C23" s="124" t="n">
        <v>10078.5</v>
      </c>
      <c r="D23" s="125" t="n">
        <v>7258.4</v>
      </c>
      <c r="E23" s="91" t="s">
        <v>50</v>
      </c>
      <c r="F23" s="91" t="s">
        <v>50</v>
      </c>
      <c r="G23" s="92" t="s">
        <v>50</v>
      </c>
      <c r="H23" s="124" t="n">
        <v>5340.8</v>
      </c>
      <c r="I23" s="124" t="n">
        <v>5749.7</v>
      </c>
      <c r="J23" s="22" t="s">
        <v>50</v>
      </c>
      <c r="K23" s="22" t="s">
        <v>50</v>
      </c>
      <c r="L23" s="124" t="n">
        <v>3895.8</v>
      </c>
      <c r="M23" s="124" t="n">
        <v>3761.4</v>
      </c>
    </row>
    <row r="24" customFormat="false" ht="15" hidden="false" customHeight="false" outlineLevel="0" collapsed="false">
      <c r="A24" s="22" t="s">
        <v>22</v>
      </c>
      <c r="B24" s="22" t="s">
        <v>15</v>
      </c>
      <c r="C24" s="124" t="n">
        <v>9647.7</v>
      </c>
      <c r="D24" s="125" t="n">
        <v>4734.8</v>
      </c>
      <c r="E24" s="126" t="n">
        <v>8017.4</v>
      </c>
      <c r="F24" s="126" t="n">
        <v>5661.7</v>
      </c>
      <c r="G24" s="127" t="n">
        <v>5561.1</v>
      </c>
      <c r="H24" s="124" t="n">
        <v>5498.7</v>
      </c>
      <c r="I24" s="124" t="n">
        <v>4341.4</v>
      </c>
      <c r="J24" s="124" t="n">
        <v>4201.4</v>
      </c>
      <c r="K24" s="124" t="n">
        <v>2455.2</v>
      </c>
      <c r="L24" s="124" t="n">
        <v>1775.2</v>
      </c>
      <c r="M24" s="124" t="n">
        <v>3020.3</v>
      </c>
    </row>
    <row r="25" customFormat="false" ht="15" hidden="false" customHeight="false" outlineLevel="0" collapsed="false">
      <c r="A25" s="119" t="s">
        <v>23</v>
      </c>
      <c r="B25" s="120"/>
      <c r="C25" s="120"/>
      <c r="D25" s="121"/>
      <c r="E25" s="122"/>
      <c r="F25" s="122"/>
      <c r="G25" s="123"/>
      <c r="H25" s="120"/>
      <c r="I25" s="120"/>
      <c r="J25" s="120"/>
      <c r="K25" s="120"/>
      <c r="L25" s="120"/>
      <c r="M25" s="120"/>
    </row>
    <row r="26" customFormat="false" ht="15" hidden="false" customHeight="false" outlineLevel="0" collapsed="false">
      <c r="A26" s="22" t="s">
        <v>57</v>
      </c>
      <c r="B26" s="22" t="s">
        <v>25</v>
      </c>
      <c r="C26" s="22" t="n">
        <v>9.98</v>
      </c>
      <c r="D26" s="90" t="n">
        <v>5.39</v>
      </c>
      <c r="E26" s="91" t="n">
        <v>10.72</v>
      </c>
      <c r="F26" s="91" t="n">
        <v>8.14</v>
      </c>
      <c r="G26" s="92" t="n">
        <v>8.8</v>
      </c>
      <c r="H26" s="22" t="n">
        <v>10</v>
      </c>
      <c r="I26" s="22" t="n">
        <v>8.7</v>
      </c>
      <c r="J26" s="22" t="n">
        <v>21</v>
      </c>
      <c r="K26" s="22" t="n">
        <v>12.3</v>
      </c>
      <c r="L26" s="22" t="n">
        <v>8.9</v>
      </c>
      <c r="M26" s="22" t="n">
        <v>15.1</v>
      </c>
    </row>
    <row r="27" customFormat="false" ht="15" hidden="false" customHeight="false" outlineLevel="0" collapsed="false">
      <c r="A27" s="22" t="s">
        <v>26</v>
      </c>
      <c r="B27" s="22" t="s">
        <v>27</v>
      </c>
      <c r="C27" s="128" t="n">
        <v>0.013</v>
      </c>
      <c r="D27" s="129" t="n">
        <v>0.007</v>
      </c>
      <c r="E27" s="130" t="n">
        <v>0.014</v>
      </c>
      <c r="F27" s="130" t="n">
        <v>0.011</v>
      </c>
      <c r="G27" s="131" t="n">
        <v>0.011</v>
      </c>
      <c r="H27" s="128" t="n">
        <v>0.013</v>
      </c>
      <c r="I27" s="128" t="n">
        <v>0.012</v>
      </c>
      <c r="J27" s="128" t="n">
        <v>0.013</v>
      </c>
      <c r="K27" s="128" t="n">
        <v>0.009</v>
      </c>
      <c r="L27" s="128" t="n">
        <v>0.007</v>
      </c>
      <c r="M27" s="128" t="n">
        <v>0.013</v>
      </c>
    </row>
    <row r="28" customFormat="false" ht="15" hidden="false" customHeight="false" outlineLevel="0" collapsed="false">
      <c r="A28" s="22" t="s">
        <v>28</v>
      </c>
      <c r="B28" s="22" t="s">
        <v>27</v>
      </c>
      <c r="C28" s="128" t="n">
        <v>0.173</v>
      </c>
      <c r="D28" s="129" t="n">
        <v>0.095</v>
      </c>
      <c r="E28" s="130" t="n">
        <v>0.179</v>
      </c>
      <c r="F28" s="130" t="n">
        <v>0.144</v>
      </c>
      <c r="G28" s="131" t="n">
        <v>0.161</v>
      </c>
      <c r="H28" s="128" t="n">
        <v>0.184</v>
      </c>
      <c r="I28" s="128" t="n">
        <v>0.172</v>
      </c>
      <c r="J28" s="128" t="n">
        <v>0.197</v>
      </c>
      <c r="K28" s="128" t="n">
        <v>0.132</v>
      </c>
      <c r="L28" s="128" t="n">
        <v>0.103</v>
      </c>
      <c r="M28" s="128" t="n">
        <v>0.193</v>
      </c>
    </row>
    <row r="29" customFormat="false" ht="15" hidden="false" customHeight="false" outlineLevel="0" collapsed="false">
      <c r="A29" s="119" t="s">
        <v>29</v>
      </c>
      <c r="B29" s="120"/>
      <c r="C29" s="120"/>
      <c r="D29" s="121"/>
      <c r="E29" s="122"/>
      <c r="F29" s="122"/>
      <c r="G29" s="123"/>
      <c r="H29" s="120"/>
      <c r="I29" s="120"/>
      <c r="J29" s="120"/>
      <c r="K29" s="120"/>
      <c r="L29" s="120"/>
      <c r="M29" s="120"/>
    </row>
    <row r="30" customFormat="false" ht="15" hidden="false" customHeight="false" outlineLevel="0" collapsed="false">
      <c r="A30" s="22" t="s">
        <v>33</v>
      </c>
      <c r="B30" s="22" t="s">
        <v>27</v>
      </c>
      <c r="C30" s="128" t="n">
        <v>0.68</v>
      </c>
      <c r="D30" s="129" t="n">
        <v>0.779</v>
      </c>
      <c r="E30" s="130" t="n">
        <v>0.826</v>
      </c>
      <c r="F30" s="130" t="n">
        <v>0.765</v>
      </c>
      <c r="G30" s="131" t="n">
        <v>0.718</v>
      </c>
      <c r="H30" s="128" t="n">
        <v>0.643</v>
      </c>
      <c r="I30" s="128" t="n">
        <v>0.739</v>
      </c>
      <c r="J30" s="128" t="n">
        <v>0.772</v>
      </c>
      <c r="K30" s="128" t="n">
        <v>0.756</v>
      </c>
      <c r="L30" s="128" t="n">
        <v>0.794</v>
      </c>
      <c r="M30" s="128" t="n">
        <v>0.815</v>
      </c>
    </row>
    <row r="31" customFormat="false" ht="15" hidden="false" customHeight="false" outlineLevel="0" collapsed="false">
      <c r="A31" s="22" t="s">
        <v>30</v>
      </c>
      <c r="B31" s="22" t="s">
        <v>27</v>
      </c>
      <c r="C31" s="128" t="n">
        <v>0.064</v>
      </c>
      <c r="D31" s="129" t="n">
        <v>0.077</v>
      </c>
      <c r="E31" s="130" t="n">
        <v>0.041</v>
      </c>
      <c r="F31" s="130" t="n">
        <v>0.043</v>
      </c>
      <c r="G31" s="131" t="n">
        <v>0.037</v>
      </c>
      <c r="H31" s="128" t="n">
        <v>0.022</v>
      </c>
      <c r="I31" s="128" t="n">
        <v>0.044</v>
      </c>
      <c r="J31" s="128" t="n">
        <v>0.041</v>
      </c>
      <c r="K31" s="128" t="n">
        <v>0.047</v>
      </c>
      <c r="L31" s="128" t="n">
        <v>0.052</v>
      </c>
      <c r="M31" s="128" t="n">
        <v>0.037</v>
      </c>
    </row>
    <row r="32" customFormat="false" ht="15" hidden="false" customHeight="false" outlineLevel="0" collapsed="false">
      <c r="A32" s="22" t="s">
        <v>32</v>
      </c>
      <c r="B32" s="22" t="s">
        <v>27</v>
      </c>
      <c r="C32" s="128" t="n">
        <v>1.182</v>
      </c>
      <c r="D32" s="129" t="n">
        <v>0.759</v>
      </c>
      <c r="E32" s="91" t="s">
        <v>50</v>
      </c>
      <c r="F32" s="91" t="s">
        <v>50</v>
      </c>
      <c r="G32" s="92" t="s">
        <v>50</v>
      </c>
      <c r="H32" s="22" t="s">
        <v>50</v>
      </c>
      <c r="I32" s="22" t="s">
        <v>50</v>
      </c>
      <c r="J32" s="22" t="s">
        <v>50</v>
      </c>
      <c r="K32" s="22" t="s">
        <v>50</v>
      </c>
      <c r="L32" s="22" t="s">
        <v>50</v>
      </c>
      <c r="M32" s="22" t="s">
        <v>50</v>
      </c>
    </row>
    <row r="33" customFormat="false" ht="15" hidden="false" customHeight="false" outlineLevel="0" collapsed="false">
      <c r="A33" s="119" t="s">
        <v>34</v>
      </c>
      <c r="B33" s="120"/>
      <c r="C33" s="120"/>
      <c r="D33" s="121"/>
      <c r="E33" s="122"/>
      <c r="F33" s="122"/>
      <c r="G33" s="123"/>
      <c r="H33" s="120"/>
      <c r="I33" s="120"/>
      <c r="J33" s="120"/>
      <c r="K33" s="120"/>
      <c r="L33" s="120"/>
      <c r="M33" s="120"/>
    </row>
    <row r="34" customFormat="false" ht="15" hidden="false" customHeight="false" outlineLevel="0" collapsed="false">
      <c r="A34" s="22" t="s">
        <v>43</v>
      </c>
      <c r="B34" s="22" t="s">
        <v>27</v>
      </c>
      <c r="C34" s="128" t="n">
        <v>0.171</v>
      </c>
      <c r="D34" s="129" t="n">
        <v>0.138</v>
      </c>
      <c r="E34" s="130" t="n">
        <v>0.162</v>
      </c>
      <c r="F34" s="130" t="n">
        <v>0.156</v>
      </c>
      <c r="G34" s="131" t="n">
        <v>0.164</v>
      </c>
      <c r="H34" s="128" t="n">
        <v>0.172</v>
      </c>
      <c r="I34" s="128" t="n">
        <v>0.155</v>
      </c>
      <c r="J34" s="128" t="n">
        <v>0.156</v>
      </c>
      <c r="K34" s="128" t="n">
        <v>0.13</v>
      </c>
      <c r="L34" s="128" t="n">
        <v>0.131</v>
      </c>
      <c r="M34" s="128" t="n">
        <v>0.137</v>
      </c>
    </row>
    <row r="35" customFormat="false" ht="15" hidden="false" customHeight="false" outlineLevel="0" collapsed="false">
      <c r="A35" s="22" t="s">
        <v>44</v>
      </c>
      <c r="B35" s="22" t="s">
        <v>27</v>
      </c>
      <c r="C35" s="128" t="n">
        <v>0.497</v>
      </c>
      <c r="D35" s="129" t="n">
        <v>0.524</v>
      </c>
      <c r="E35" s="130" t="n">
        <v>0.595</v>
      </c>
      <c r="F35" s="130" t="n">
        <v>0.613</v>
      </c>
      <c r="G35" s="131" t="n">
        <v>0.588</v>
      </c>
      <c r="H35" s="128" t="n">
        <v>0.605</v>
      </c>
      <c r="I35" s="128" t="n">
        <v>0.582</v>
      </c>
      <c r="J35" s="128" t="n">
        <v>0.616</v>
      </c>
      <c r="K35" s="128" t="n">
        <v>0.693</v>
      </c>
      <c r="L35" s="128" t="n">
        <v>0.653</v>
      </c>
      <c r="M35" s="128" t="n">
        <v>0.588</v>
      </c>
    </row>
    <row r="36" customFormat="false" ht="15" hidden="false" customHeight="false" outlineLevel="0" collapsed="false">
      <c r="A36" s="119" t="s">
        <v>52</v>
      </c>
      <c r="B36" s="120"/>
      <c r="C36" s="120"/>
      <c r="D36" s="121"/>
      <c r="E36" s="122"/>
      <c r="F36" s="122"/>
      <c r="G36" s="123"/>
      <c r="H36" s="120"/>
      <c r="I36" s="120"/>
      <c r="J36" s="120"/>
      <c r="K36" s="120"/>
      <c r="L36" s="120"/>
      <c r="M36" s="120"/>
    </row>
    <row r="37" customFormat="false" ht="15" hidden="false" customHeight="false" outlineLevel="0" collapsed="false">
      <c r="A37" s="22" t="s">
        <v>58</v>
      </c>
      <c r="B37" s="22" t="s">
        <v>15</v>
      </c>
      <c r="C37" s="124" t="n">
        <v>28832.2</v>
      </c>
      <c r="D37" s="125" t="n">
        <v>33009.1</v>
      </c>
      <c r="E37" s="126" t="n">
        <v>16895</v>
      </c>
      <c r="F37" s="126" t="n">
        <v>15652</v>
      </c>
      <c r="G37" s="127" t="n">
        <v>11819.6</v>
      </c>
      <c r="H37" s="124" t="n">
        <v>6014.4</v>
      </c>
      <c r="I37" s="124" t="n">
        <v>11274.5</v>
      </c>
      <c r="J37" s="124" t="n">
        <v>9493.7</v>
      </c>
      <c r="K37" s="124" t="n">
        <v>9741.1</v>
      </c>
      <c r="L37" s="124" t="n">
        <v>9016.7</v>
      </c>
      <c r="M37" s="124" t="n">
        <v>5634</v>
      </c>
    </row>
    <row r="38" customFormat="false" ht="15" hidden="false" customHeight="false" outlineLevel="0" collapsed="false">
      <c r="A38" s="22" t="s">
        <v>38</v>
      </c>
      <c r="B38" s="22" t="s">
        <v>27</v>
      </c>
      <c r="C38" s="128" t="n">
        <v>0.0353</v>
      </c>
      <c r="D38" s="129" t="n">
        <v>0.0486</v>
      </c>
      <c r="E38" s="130" t="n">
        <v>0.0284</v>
      </c>
      <c r="F38" s="130" t="n">
        <v>0.0282</v>
      </c>
      <c r="G38" s="131" t="n">
        <v>0.023</v>
      </c>
      <c r="H38" s="128" t="n">
        <v>0.0127</v>
      </c>
      <c r="I38" s="128" t="n">
        <v>0.0289</v>
      </c>
      <c r="J38" s="128" t="n">
        <v>0.0274</v>
      </c>
      <c r="K38" s="128" t="n">
        <v>0.0312</v>
      </c>
      <c r="L38" s="128" t="n">
        <v>0.0341</v>
      </c>
      <c r="M38" s="128" t="n">
        <v>0.0231</v>
      </c>
    </row>
    <row r="39" customFormat="false" ht="15" hidden="false" customHeight="false" outlineLevel="0" collapsed="false">
      <c r="A39" s="95" t="s">
        <v>39</v>
      </c>
      <c r="B39" s="22" t="s">
        <v>27</v>
      </c>
      <c r="C39" s="128" t="n">
        <v>1.038</v>
      </c>
      <c r="D39" s="129" t="n">
        <v>-0.409</v>
      </c>
      <c r="E39" s="130" t="n">
        <v>0.416</v>
      </c>
      <c r="F39" s="130" t="n">
        <v>0.018</v>
      </c>
      <c r="G39" s="131" t="n">
        <v>0.011</v>
      </c>
      <c r="H39" s="128" t="n">
        <v>0.267</v>
      </c>
      <c r="I39" s="128" t="n">
        <v>0.033</v>
      </c>
      <c r="J39" s="128" t="n">
        <v>0.711</v>
      </c>
      <c r="K39" s="128" t="n">
        <v>0.383</v>
      </c>
      <c r="L39" s="128" t="n">
        <v>-0.412</v>
      </c>
      <c r="M39" s="128" t="n">
        <v>0.369</v>
      </c>
    </row>
    <row r="40" customFormat="false" ht="15" hidden="false" customHeight="false" outlineLevel="0" collapsed="false">
      <c r="A40" s="22" t="s">
        <v>48</v>
      </c>
      <c r="B40" s="22" t="s">
        <v>27</v>
      </c>
      <c r="C40" s="128" t="n">
        <v>0.164</v>
      </c>
      <c r="D40" s="129" t="n">
        <v>0.071</v>
      </c>
      <c r="E40" s="130" t="n">
        <v>0.157</v>
      </c>
      <c r="F40" s="130" t="n">
        <v>0.126</v>
      </c>
      <c r="G40" s="131" t="n">
        <v>0.146</v>
      </c>
      <c r="H40" s="128" t="n">
        <v>0.175</v>
      </c>
      <c r="I40" s="128" t="n">
        <v>0.189</v>
      </c>
      <c r="J40" s="128" t="n">
        <v>0.185</v>
      </c>
      <c r="K40" s="128" t="n">
        <v>0.102</v>
      </c>
      <c r="L40" s="128" t="n">
        <v>0.055</v>
      </c>
      <c r="M40" s="128" t="n">
        <v>0.154</v>
      </c>
    </row>
    <row r="48" customFormat="false" ht="15" hidden="false" customHeight="false" outlineLevel="0" collapsed="false">
      <c r="A48" s="132"/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</row>
    <row r="50" customFormat="false" ht="15" hidden="false" customHeight="false" outlineLevel="0" collapsed="false"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</row>
    <row r="51" customFormat="false" ht="15" hidden="false" customHeight="false" outlineLevel="0" collapsed="false"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</row>
    <row r="52" customFormat="false" ht="15" hidden="false" customHeight="false" outlineLevel="0" collapsed="false"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</row>
    <row r="53" customFormat="false" ht="15" hidden="false" customHeight="false" outlineLevel="0" collapsed="false"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</row>
    <row r="55" customFormat="false" ht="15" hidden="false" customHeight="false" outlineLevel="0" collapsed="false">
      <c r="B55" s="133"/>
      <c r="C55" s="133"/>
      <c r="D55" s="133"/>
      <c r="G55" s="133"/>
      <c r="H55" s="133"/>
      <c r="I55" s="133"/>
      <c r="K55" s="133"/>
      <c r="L55" s="133"/>
      <c r="M55" s="133"/>
    </row>
    <row r="56" customFormat="false" ht="15" hidden="false" customHeight="false" outlineLevel="0" collapsed="false">
      <c r="B56" s="133"/>
      <c r="C56" s="133"/>
      <c r="D56" s="133"/>
      <c r="G56" s="133"/>
      <c r="H56" s="133"/>
      <c r="I56" s="133"/>
      <c r="K56" s="133"/>
      <c r="L56" s="133"/>
      <c r="M56" s="133"/>
    </row>
    <row r="57" customFormat="false" ht="15" hidden="false" customHeight="false" outlineLevel="0" collapsed="false"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</row>
    <row r="60" customFormat="false" ht="15" hidden="false" customHeight="false" outlineLevel="0" collapsed="false"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</row>
    <row r="61" customFormat="false" ht="15" hidden="false" customHeight="false" outlineLevel="0" collapsed="false"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</row>
    <row r="63" customFormat="false" ht="15" hidden="false" customHeight="false" outlineLevel="0" collapsed="false"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</row>
    <row r="64" customFormat="false" ht="15" hidden="false" customHeight="false" outlineLevel="0" collapsed="false"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</row>
    <row r="65" customFormat="false" ht="15" hidden="false" customHeight="false" outlineLevel="0" collapsed="false">
      <c r="C65" s="96"/>
      <c r="D65" s="96"/>
    </row>
    <row r="67" customFormat="false" ht="15" hidden="false" customHeight="false" outlineLevel="0" collapsed="false"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</row>
    <row r="68" customFormat="false" ht="15" hidden="false" customHeight="false" outlineLevel="0" collapsed="false"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</row>
    <row r="70" customFormat="false" ht="15" hidden="false" customHeight="false" outlineLevel="0" collapsed="false"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</row>
    <row r="71" customFormat="false" ht="15" hidden="false" customHeight="false" outlineLevel="0" collapsed="false"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</row>
    <row r="72" customFormat="false" ht="15" hidden="false" customHeight="false" outlineLevel="0" collapsed="false"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</row>
    <row r="73" customFormat="false" ht="15" hidden="false" customHeight="false" outlineLevel="0" collapsed="false"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</row>
  </sheetData>
  <mergeCells count="12">
    <mergeCell ref="B2:F2"/>
    <mergeCell ref="A3:A13"/>
    <mergeCell ref="B3:H3"/>
    <mergeCell ref="B4:G4"/>
    <mergeCell ref="B5:G5"/>
    <mergeCell ref="B6:G6"/>
    <mergeCell ref="B7:G7"/>
    <mergeCell ref="B8:G8"/>
    <mergeCell ref="B9:G9"/>
    <mergeCell ref="B10:G10"/>
    <mergeCell ref="B11:G11"/>
    <mergeCell ref="B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5.43"/>
  </cols>
  <sheetData>
    <row r="2" customFormat="false" ht="18.55" hidden="false" customHeight="false" outlineLevel="0" collapsed="false">
      <c r="B2" s="75" t="s">
        <v>59</v>
      </c>
      <c r="C2" s="75"/>
      <c r="D2" s="75"/>
      <c r="E2" s="75"/>
      <c r="F2" s="75"/>
    </row>
    <row r="3" customFormat="false" ht="16.15" hidden="false" customHeight="false" outlineLevel="0" collapsed="false">
      <c r="A3" s="43"/>
      <c r="B3" s="134" t="s">
        <v>1</v>
      </c>
      <c r="C3" s="134"/>
      <c r="D3" s="134"/>
      <c r="E3" s="134"/>
      <c r="F3" s="134"/>
      <c r="G3" s="134"/>
      <c r="H3" s="134"/>
    </row>
    <row r="4" customFormat="false" ht="15" hidden="false" customHeight="false" outlineLevel="0" collapsed="false">
      <c r="A4" s="43"/>
      <c r="B4" s="5" t="s">
        <v>2</v>
      </c>
      <c r="C4" s="5"/>
      <c r="D4" s="5"/>
      <c r="E4" s="5"/>
      <c r="F4" s="5"/>
      <c r="G4" s="5"/>
      <c r="H4" s="6" t="n">
        <f aca="false">AVERAGE(C27:M27)</f>
        <v>15.333</v>
      </c>
    </row>
    <row r="5" customFormat="false" ht="15" hidden="false" customHeight="false" outlineLevel="0" collapsed="false">
      <c r="A5" s="43"/>
      <c r="B5" s="5" t="s">
        <v>3</v>
      </c>
      <c r="C5" s="5"/>
      <c r="D5" s="5"/>
      <c r="E5" s="5"/>
      <c r="F5" s="5"/>
      <c r="G5" s="5"/>
      <c r="H5" s="6" t="n">
        <f aca="false">STDEV(C27:M27)</f>
        <v>2.70782015650966</v>
      </c>
    </row>
    <row r="6" customFormat="false" ht="15" hidden="false" customHeight="false" outlineLevel="0" collapsed="false">
      <c r="A6" s="43"/>
      <c r="B6" s="5" t="s">
        <v>4</v>
      </c>
      <c r="C6" s="5"/>
      <c r="D6" s="5"/>
      <c r="E6" s="5"/>
      <c r="F6" s="5"/>
      <c r="G6" s="5"/>
      <c r="H6" s="6" t="n">
        <f aca="false">(H4-3)/H5</f>
        <v>4.55458608296094</v>
      </c>
    </row>
    <row r="7" customFormat="false" ht="15" hidden="false" customHeight="false" outlineLevel="0" collapsed="false">
      <c r="A7" s="43"/>
      <c r="B7" s="5" t="s">
        <v>5</v>
      </c>
      <c r="C7" s="5"/>
      <c r="D7" s="5"/>
      <c r="E7" s="5"/>
      <c r="F7" s="5"/>
      <c r="G7" s="5"/>
      <c r="H7" s="6" t="n">
        <f aca="false">AVERAGE(D27:I27)</f>
        <v>16.335</v>
      </c>
    </row>
    <row r="8" customFormat="false" ht="15" hidden="false" customHeight="false" outlineLevel="0" collapsed="false">
      <c r="A8" s="43"/>
      <c r="B8" s="5" t="s">
        <v>6</v>
      </c>
      <c r="C8" s="5"/>
      <c r="D8" s="5"/>
      <c r="E8" s="5"/>
      <c r="F8" s="5"/>
      <c r="G8" s="5"/>
      <c r="H8" s="6" t="n">
        <f aca="false">STDEV(D27:I27)</f>
        <v>1.31831331632507</v>
      </c>
    </row>
    <row r="9" customFormat="false" ht="15" hidden="false" customHeight="false" outlineLevel="0" collapsed="false">
      <c r="A9" s="43"/>
      <c r="B9" s="5" t="s">
        <v>7</v>
      </c>
      <c r="C9" s="5"/>
      <c r="D9" s="5"/>
      <c r="E9" s="5"/>
      <c r="F9" s="5"/>
      <c r="G9" s="5"/>
      <c r="H9" s="6" t="n">
        <f aca="false">(H7-3)/H8</f>
        <v>10.1151978326159</v>
      </c>
    </row>
    <row r="10" customFormat="false" ht="15" hidden="false" customHeight="false" outlineLevel="0" collapsed="false">
      <c r="A10" s="43"/>
      <c r="B10" s="5" t="s">
        <v>8</v>
      </c>
      <c r="C10" s="5"/>
      <c r="D10" s="5"/>
      <c r="E10" s="5"/>
      <c r="F10" s="5"/>
      <c r="G10" s="5"/>
      <c r="H10" s="7" t="n">
        <f aca="false">(C19/M19)^(1/10)-1</f>
        <v>0.0951211952462685</v>
      </c>
    </row>
    <row r="11" customFormat="false" ht="15" hidden="false" customHeight="false" outlineLevel="0" collapsed="false">
      <c r="A11" s="43"/>
      <c r="B11" s="5" t="s">
        <v>9</v>
      </c>
      <c r="C11" s="5"/>
      <c r="D11" s="5"/>
      <c r="E11" s="5"/>
      <c r="F11" s="5"/>
      <c r="G11" s="5"/>
      <c r="H11" s="8" t="n">
        <v>0</v>
      </c>
    </row>
    <row r="12" customFormat="false" ht="15" hidden="false" customHeight="false" outlineLevel="0" collapsed="false">
      <c r="A12" s="43"/>
      <c r="B12" s="5" t="s">
        <v>10</v>
      </c>
      <c r="C12" s="5"/>
      <c r="D12" s="5"/>
      <c r="E12" s="5"/>
      <c r="F12" s="5"/>
      <c r="G12" s="5"/>
      <c r="H12" s="9" t="n">
        <f aca="false">SLOPE(C30:M30,C14:M14)</f>
        <v>-0.00562770562770563</v>
      </c>
    </row>
    <row r="14" customFormat="false" ht="15" hidden="false" customHeight="false" outlineLevel="0" collapsed="false">
      <c r="A14" s="135" t="s">
        <v>11</v>
      </c>
      <c r="B14" s="135" t="s">
        <v>12</v>
      </c>
      <c r="C14" s="136" t="n">
        <v>2025</v>
      </c>
      <c r="D14" s="137" t="n">
        <v>2024</v>
      </c>
      <c r="E14" s="138" t="n">
        <v>2023</v>
      </c>
      <c r="F14" s="138" t="n">
        <v>2022</v>
      </c>
      <c r="G14" s="139" t="n">
        <v>2021</v>
      </c>
      <c r="H14" s="136" t="n">
        <v>2020</v>
      </c>
      <c r="I14" s="136" t="n">
        <v>2019</v>
      </c>
      <c r="J14" s="136" t="n">
        <v>2018</v>
      </c>
      <c r="K14" s="136" t="n">
        <v>2017</v>
      </c>
      <c r="L14" s="136" t="n">
        <v>2016</v>
      </c>
      <c r="M14" s="136" t="n">
        <v>2015</v>
      </c>
    </row>
    <row r="15" customFormat="false" ht="15" hidden="false" customHeight="false" outlineLevel="0" collapsed="false">
      <c r="A15" s="140" t="s">
        <v>13</v>
      </c>
      <c r="B15" s="141"/>
      <c r="C15" s="141"/>
      <c r="D15" s="142"/>
      <c r="E15" s="143"/>
      <c r="F15" s="143"/>
      <c r="G15" s="144"/>
      <c r="H15" s="141"/>
      <c r="I15" s="141"/>
      <c r="J15" s="141"/>
      <c r="K15" s="141"/>
      <c r="L15" s="141"/>
      <c r="M15" s="141"/>
    </row>
    <row r="16" customFormat="false" ht="15" hidden="false" customHeight="false" outlineLevel="0" collapsed="false">
      <c r="A16" s="22" t="s">
        <v>14</v>
      </c>
      <c r="B16" s="22" t="s">
        <v>15</v>
      </c>
      <c r="C16" s="124" t="n">
        <v>761604</v>
      </c>
      <c r="D16" s="125" t="n">
        <v>616050</v>
      </c>
      <c r="E16" s="126" t="n">
        <v>506271</v>
      </c>
      <c r="F16" s="126" t="n">
        <v>455989</v>
      </c>
      <c r="G16" s="127" t="n">
        <v>388815</v>
      </c>
      <c r="H16" s="124" t="n">
        <v>336936</v>
      </c>
      <c r="I16" s="124" t="n">
        <v>335163</v>
      </c>
      <c r="J16" s="124" t="n">
        <v>282451</v>
      </c>
      <c r="K16" s="124" t="n">
        <v>253068</v>
      </c>
      <c r="L16" s="124" t="s">
        <v>50</v>
      </c>
      <c r="M16" s="124" t="n">
        <v>189563</v>
      </c>
    </row>
    <row r="17" customFormat="false" ht="15" hidden="false" customHeight="false" outlineLevel="0" collapsed="false">
      <c r="A17" s="22" t="s">
        <v>42</v>
      </c>
      <c r="B17" s="22" t="s">
        <v>15</v>
      </c>
      <c r="C17" s="124" t="n">
        <v>477040</v>
      </c>
      <c r="D17" s="125" t="n">
        <v>410718</v>
      </c>
      <c r="E17" s="126" t="n">
        <v>353357</v>
      </c>
      <c r="F17" s="126" t="n">
        <v>308916</v>
      </c>
      <c r="G17" s="127" t="n">
        <v>269394</v>
      </c>
      <c r="H17" s="124" t="n">
        <v>228944</v>
      </c>
      <c r="I17" s="124" t="n">
        <v>232051</v>
      </c>
      <c r="J17" s="124" t="n">
        <v>209306</v>
      </c>
      <c r="K17" s="124" t="n">
        <v>184027</v>
      </c>
      <c r="L17" s="124" t="s">
        <v>50</v>
      </c>
      <c r="M17" s="124" t="n">
        <v>130226</v>
      </c>
    </row>
    <row r="18" customFormat="false" ht="15" hidden="false" customHeight="false" outlineLevel="0" collapsed="false">
      <c r="A18" s="22" t="s">
        <v>17</v>
      </c>
      <c r="B18" s="22" t="s">
        <v>15</v>
      </c>
      <c r="C18" s="124" t="n">
        <v>556454</v>
      </c>
      <c r="D18" s="125" t="n">
        <v>457692</v>
      </c>
      <c r="E18" s="126" t="n">
        <v>366104</v>
      </c>
      <c r="F18" s="126" t="n">
        <v>317097</v>
      </c>
      <c r="G18" s="127" t="n">
        <v>268019</v>
      </c>
      <c r="H18" s="124" t="n">
        <v>242358</v>
      </c>
      <c r="I18" s="124" t="n">
        <v>240164</v>
      </c>
      <c r="J18" s="124" t="n">
        <v>199629</v>
      </c>
      <c r="K18" s="124" t="n">
        <v>167348</v>
      </c>
      <c r="L18" s="124" t="s">
        <v>50</v>
      </c>
      <c r="M18" s="124" t="n">
        <v>127990</v>
      </c>
    </row>
    <row r="19" customFormat="false" ht="15" hidden="false" customHeight="false" outlineLevel="0" collapsed="false">
      <c r="A19" s="22" t="s">
        <v>18</v>
      </c>
      <c r="B19" s="22" t="s">
        <v>15</v>
      </c>
      <c r="C19" s="124" t="n">
        <v>50850</v>
      </c>
      <c r="D19" s="125" t="n">
        <v>43064</v>
      </c>
      <c r="E19" s="126" t="n">
        <v>37484</v>
      </c>
      <c r="F19" s="126" t="n">
        <v>35045</v>
      </c>
      <c r="G19" s="127" t="n">
        <v>31017</v>
      </c>
      <c r="H19" s="124" t="n">
        <v>28976</v>
      </c>
      <c r="I19" s="124" t="n">
        <v>25567</v>
      </c>
      <c r="J19" s="124" t="n">
        <v>22966</v>
      </c>
      <c r="K19" s="124" t="n">
        <v>21586</v>
      </c>
      <c r="L19" s="124" t="s">
        <v>50</v>
      </c>
      <c r="M19" s="124" t="n">
        <v>20496</v>
      </c>
    </row>
    <row r="20" customFormat="false" ht="15" hidden="false" customHeight="false" outlineLevel="0" collapsed="false">
      <c r="A20" s="140" t="s">
        <v>19</v>
      </c>
      <c r="B20" s="141"/>
      <c r="C20" s="141"/>
      <c r="D20" s="142"/>
      <c r="E20" s="143"/>
      <c r="F20" s="143"/>
      <c r="G20" s="144"/>
      <c r="H20" s="141"/>
      <c r="I20" s="141"/>
      <c r="J20" s="141"/>
      <c r="K20" s="141"/>
      <c r="L20" s="141"/>
      <c r="M20" s="141"/>
    </row>
    <row r="21" customFormat="false" ht="15" hidden="false" customHeight="false" outlineLevel="0" collapsed="false">
      <c r="A21" s="22" t="s">
        <v>20</v>
      </c>
      <c r="B21" s="22" t="s">
        <v>15</v>
      </c>
      <c r="C21" s="124" t="n">
        <v>9833</v>
      </c>
      <c r="D21" s="125" t="n">
        <v>10585</v>
      </c>
      <c r="E21" s="126" t="n">
        <v>8148</v>
      </c>
      <c r="F21" s="126" t="n">
        <v>6699</v>
      </c>
      <c r="G21" s="127" t="n">
        <v>7761</v>
      </c>
      <c r="H21" s="124" t="n">
        <v>5930</v>
      </c>
      <c r="I21" s="124" t="n">
        <v>8159</v>
      </c>
      <c r="J21" s="124" t="n">
        <v>7506</v>
      </c>
      <c r="K21" s="124" t="n">
        <v>5745</v>
      </c>
      <c r="L21" s="124" t="s">
        <v>50</v>
      </c>
      <c r="M21" s="124" t="n">
        <v>3545</v>
      </c>
    </row>
    <row r="22" customFormat="false" ht="15" hidden="false" customHeight="false" outlineLevel="0" collapsed="false">
      <c r="A22" s="22" t="s">
        <v>21</v>
      </c>
      <c r="B22" s="22" t="s">
        <v>15</v>
      </c>
      <c r="C22" s="124" t="n">
        <v>21144</v>
      </c>
      <c r="D22" s="125" t="n">
        <v>16042</v>
      </c>
      <c r="E22" s="126" t="n">
        <v>12380</v>
      </c>
      <c r="F22" s="126" t="n">
        <v>11090</v>
      </c>
      <c r="G22" s="127" t="n">
        <v>9397</v>
      </c>
      <c r="H22" s="124" t="n">
        <v>8204</v>
      </c>
      <c r="I22" s="124" t="n">
        <v>6439</v>
      </c>
      <c r="J22" s="124" t="n">
        <v>5633</v>
      </c>
      <c r="K22" s="124" t="n">
        <v>6656</v>
      </c>
      <c r="L22" s="124" t="s">
        <v>50</v>
      </c>
      <c r="M22" s="124" t="n">
        <v>6542</v>
      </c>
    </row>
    <row r="23" customFormat="false" ht="15" hidden="false" customHeight="false" outlineLevel="0" collapsed="false">
      <c r="A23" s="22" t="s">
        <v>22</v>
      </c>
      <c r="B23" s="22" t="s">
        <v>15</v>
      </c>
      <c r="C23" s="124" t="n">
        <v>9010</v>
      </c>
      <c r="D23" s="125" t="n">
        <v>7504</v>
      </c>
      <c r="E23" s="126" t="n">
        <v>6109</v>
      </c>
      <c r="F23" s="126" t="n">
        <v>5107</v>
      </c>
      <c r="G23" s="127" t="n">
        <v>4654</v>
      </c>
      <c r="H23" s="124" t="n">
        <v>4103</v>
      </c>
      <c r="I23" s="124" t="n">
        <v>4008</v>
      </c>
      <c r="J23" s="124" t="n">
        <v>3081</v>
      </c>
      <c r="K23" s="124" t="n">
        <v>2405</v>
      </c>
      <c r="L23" s="124" t="s">
        <v>50</v>
      </c>
      <c r="M23" s="124" t="n">
        <v>2221</v>
      </c>
    </row>
    <row r="24" customFormat="false" ht="15" hidden="false" customHeight="false" outlineLevel="0" collapsed="false">
      <c r="A24" s="140" t="s">
        <v>23</v>
      </c>
      <c r="B24" s="141"/>
      <c r="C24" s="141"/>
      <c r="D24" s="142"/>
      <c r="E24" s="143"/>
      <c r="F24" s="143"/>
      <c r="G24" s="144"/>
      <c r="H24" s="141"/>
      <c r="I24" s="141"/>
      <c r="J24" s="141"/>
      <c r="K24" s="141"/>
      <c r="L24" s="141"/>
      <c r="M24" s="141"/>
    </row>
    <row r="25" customFormat="false" ht="15" hidden="false" customHeight="false" outlineLevel="0" collapsed="false">
      <c r="A25" s="22" t="s">
        <v>24</v>
      </c>
      <c r="B25" s="22" t="s">
        <v>25</v>
      </c>
      <c r="C25" s="22" t="n">
        <v>5.65</v>
      </c>
      <c r="D25" s="90" t="n">
        <v>5.53</v>
      </c>
      <c r="E25" s="91" t="n">
        <v>5.06</v>
      </c>
      <c r="F25" s="91" t="n">
        <v>4.76</v>
      </c>
      <c r="G25" s="92" t="n">
        <v>4.88</v>
      </c>
      <c r="H25" s="22" t="n">
        <v>5.05</v>
      </c>
      <c r="I25" s="22" t="n">
        <v>4.94</v>
      </c>
      <c r="J25" s="22" t="n">
        <v>4.17</v>
      </c>
      <c r="K25" s="22" t="n">
        <v>3.26</v>
      </c>
      <c r="L25" s="22" t="s">
        <v>50</v>
      </c>
      <c r="M25" s="22" t="n">
        <v>3.63</v>
      </c>
    </row>
    <row r="26" customFormat="false" ht="15" hidden="false" customHeight="false" outlineLevel="0" collapsed="false">
      <c r="A26" s="22" t="s">
        <v>26</v>
      </c>
      <c r="B26" s="22" t="s">
        <v>27</v>
      </c>
      <c r="C26" s="22" t="n">
        <v>1.31</v>
      </c>
      <c r="D26" s="90" t="n">
        <v>1.34</v>
      </c>
      <c r="E26" s="91" t="n">
        <v>1.27</v>
      </c>
      <c r="F26" s="91" t="n">
        <v>1.21</v>
      </c>
      <c r="G26" s="92" t="n">
        <v>1.28</v>
      </c>
      <c r="H26" s="22" t="n">
        <v>1.22</v>
      </c>
      <c r="I26" s="22" t="n">
        <v>1.3</v>
      </c>
      <c r="J26" s="22" t="n">
        <v>1.15</v>
      </c>
      <c r="K26" s="22" t="n">
        <v>1.04</v>
      </c>
      <c r="L26" s="22" t="s">
        <v>50</v>
      </c>
      <c r="M26" s="22" t="n">
        <v>1.23</v>
      </c>
    </row>
    <row r="27" customFormat="false" ht="15" hidden="false" customHeight="false" outlineLevel="0" collapsed="false">
      <c r="A27" s="22" t="s">
        <v>28</v>
      </c>
      <c r="B27" s="22" t="s">
        <v>27</v>
      </c>
      <c r="C27" s="22" t="n">
        <v>19.13</v>
      </c>
      <c r="D27" s="90" t="n">
        <v>18.63</v>
      </c>
      <c r="E27" s="91" t="n">
        <v>16.85</v>
      </c>
      <c r="F27" s="91" t="n">
        <v>15.46</v>
      </c>
      <c r="G27" s="92" t="n">
        <v>15.51</v>
      </c>
      <c r="H27" s="22" t="n">
        <v>15.04</v>
      </c>
      <c r="I27" s="22" t="n">
        <v>16.52</v>
      </c>
      <c r="J27" s="22" t="n">
        <v>13.83</v>
      </c>
      <c r="K27" s="22" t="n">
        <v>11.41</v>
      </c>
      <c r="L27" s="22" t="s">
        <v>50</v>
      </c>
      <c r="M27" s="22" t="n">
        <v>10.95</v>
      </c>
    </row>
    <row r="28" customFormat="false" ht="15" hidden="false" customHeight="false" outlineLevel="0" collapsed="false">
      <c r="A28" s="140" t="s">
        <v>29</v>
      </c>
      <c r="B28" s="141"/>
      <c r="C28" s="141"/>
      <c r="D28" s="142"/>
      <c r="E28" s="143"/>
      <c r="F28" s="143"/>
      <c r="G28" s="144"/>
      <c r="H28" s="141"/>
      <c r="I28" s="141"/>
      <c r="J28" s="141"/>
      <c r="K28" s="141"/>
      <c r="L28" s="141"/>
      <c r="M28" s="141"/>
    </row>
    <row r="29" customFormat="false" ht="15" hidden="false" customHeight="false" outlineLevel="0" collapsed="false">
      <c r="A29" s="22" t="s">
        <v>33</v>
      </c>
      <c r="B29" s="22" t="s">
        <v>27</v>
      </c>
      <c r="C29" s="22" t="n">
        <v>74.65</v>
      </c>
      <c r="D29" s="90" t="n">
        <v>80.19</v>
      </c>
      <c r="E29" s="91" t="n">
        <v>79.45</v>
      </c>
      <c r="F29" s="91" t="n">
        <v>77.83</v>
      </c>
      <c r="G29" s="92" t="n">
        <v>79.69</v>
      </c>
      <c r="H29" s="22" t="n">
        <v>74.13</v>
      </c>
      <c r="I29" s="22" t="n">
        <v>77.2</v>
      </c>
      <c r="J29" s="22" t="n">
        <v>83.08</v>
      </c>
      <c r="K29" s="22" t="n">
        <v>83.06</v>
      </c>
      <c r="L29" s="22" t="s">
        <v>50</v>
      </c>
      <c r="M29" s="22" t="n">
        <v>87.87</v>
      </c>
    </row>
    <row r="30" customFormat="false" ht="15" hidden="false" customHeight="false" outlineLevel="0" collapsed="false">
      <c r="A30" s="22" t="s">
        <v>30</v>
      </c>
      <c r="B30" s="22" t="s">
        <v>27</v>
      </c>
      <c r="C30" s="22" t="n">
        <v>2.24</v>
      </c>
      <c r="D30" s="90" t="n">
        <v>3.34</v>
      </c>
      <c r="E30" s="91" t="n">
        <v>3.1</v>
      </c>
      <c r="F30" s="91" t="n">
        <v>2.78</v>
      </c>
      <c r="G30" s="92" t="n">
        <v>3.7</v>
      </c>
      <c r="H30" s="22" t="n">
        <v>2.72</v>
      </c>
      <c r="I30" s="22" t="n">
        <v>3.35</v>
      </c>
      <c r="J30" s="22" t="n">
        <v>2.35</v>
      </c>
      <c r="K30" s="22" t="n">
        <v>2.5</v>
      </c>
      <c r="L30" s="22" t="s">
        <v>50</v>
      </c>
      <c r="M30" s="22" t="n">
        <v>3.27</v>
      </c>
    </row>
    <row r="31" customFormat="false" ht="15" hidden="false" customHeight="false" outlineLevel="0" collapsed="false">
      <c r="A31" s="22" t="s">
        <v>32</v>
      </c>
      <c r="B31" s="22" t="s">
        <v>27</v>
      </c>
      <c r="C31" s="22" t="n">
        <v>161.04</v>
      </c>
      <c r="D31" s="90" t="n">
        <v>114.49</v>
      </c>
      <c r="E31" s="91" t="n">
        <v>147.61</v>
      </c>
      <c r="F31" s="91" t="n">
        <v>168.46</v>
      </c>
      <c r="G31" s="92" t="n">
        <v>141.31</v>
      </c>
      <c r="H31" s="22" t="n">
        <v>179.51</v>
      </c>
      <c r="I31" s="22" t="n">
        <v>120.42</v>
      </c>
      <c r="J31" s="22" t="n">
        <v>150.39</v>
      </c>
      <c r="K31" s="22" t="n">
        <v>159.52</v>
      </c>
      <c r="L31" s="22" t="s">
        <v>50</v>
      </c>
      <c r="M31" s="22" t="n">
        <v>116.85</v>
      </c>
    </row>
    <row r="32" customFormat="false" ht="15" hidden="false" customHeight="false" outlineLevel="0" collapsed="false">
      <c r="A32" s="140" t="s">
        <v>34</v>
      </c>
      <c r="B32" s="141"/>
      <c r="C32" s="141"/>
      <c r="D32" s="142"/>
      <c r="E32" s="143"/>
      <c r="F32" s="143"/>
      <c r="G32" s="144"/>
      <c r="H32" s="141"/>
      <c r="I32" s="141"/>
      <c r="J32" s="141"/>
      <c r="K32" s="141"/>
      <c r="L32" s="141"/>
      <c r="M32" s="141"/>
    </row>
    <row r="33" customFormat="false" ht="15" hidden="false" customHeight="false" outlineLevel="0" collapsed="false">
      <c r="A33" s="22" t="s">
        <v>43</v>
      </c>
      <c r="B33" s="22" t="s">
        <v>27</v>
      </c>
      <c r="C33" s="22" t="n">
        <v>14.88</v>
      </c>
      <c r="D33" s="90" t="n">
        <v>14.65</v>
      </c>
      <c r="E33" s="91" t="n">
        <v>15.07</v>
      </c>
      <c r="F33" s="91" t="n">
        <v>14.61</v>
      </c>
      <c r="G33" s="92" t="n">
        <v>13.87</v>
      </c>
      <c r="H33" s="22" t="n">
        <v>15.03</v>
      </c>
      <c r="I33" s="22" t="n">
        <v>14.74</v>
      </c>
      <c r="J33" s="22" t="n">
        <v>12.16</v>
      </c>
      <c r="K33" s="22" t="n">
        <v>14.09</v>
      </c>
      <c r="L33" s="22" t="s">
        <v>50</v>
      </c>
      <c r="M33" s="22" t="n">
        <v>13.92</v>
      </c>
    </row>
    <row r="34" customFormat="false" ht="15" hidden="false" customHeight="false" outlineLevel="0" collapsed="false">
      <c r="A34" s="22" t="s">
        <v>44</v>
      </c>
      <c r="B34" s="22" t="s">
        <v>27</v>
      </c>
      <c r="C34" s="22" t="n">
        <v>41.69</v>
      </c>
      <c r="D34" s="90" t="n">
        <v>40.95</v>
      </c>
      <c r="E34" s="91" t="n">
        <v>44.22</v>
      </c>
      <c r="F34" s="91" t="n">
        <v>43.53</v>
      </c>
      <c r="G34" s="92" t="n">
        <v>39.1</v>
      </c>
      <c r="H34" s="22" t="n">
        <v>45.8</v>
      </c>
      <c r="I34" s="22" t="n">
        <v>43.76</v>
      </c>
      <c r="J34" s="22" t="n">
        <v>45.63</v>
      </c>
      <c r="K34" s="22" t="n">
        <v>45.2</v>
      </c>
      <c r="L34" s="22" t="s">
        <v>50</v>
      </c>
      <c r="M34" s="22" t="n">
        <v>48.33</v>
      </c>
    </row>
    <row r="35" customFormat="false" ht="15" hidden="false" customHeight="false" outlineLevel="0" collapsed="false">
      <c r="A35" s="140" t="s">
        <v>52</v>
      </c>
      <c r="B35" s="141"/>
      <c r="C35" s="141"/>
      <c r="D35" s="142"/>
      <c r="E35" s="143"/>
      <c r="F35" s="143"/>
      <c r="G35" s="144"/>
      <c r="H35" s="141"/>
      <c r="I35" s="141"/>
      <c r="J35" s="141"/>
      <c r="K35" s="141"/>
      <c r="L35" s="141"/>
      <c r="M35" s="141"/>
    </row>
    <row r="36" customFormat="false" ht="15" hidden="false" customHeight="false" outlineLevel="0" collapsed="false">
      <c r="A36" s="22" t="s">
        <v>46</v>
      </c>
      <c r="B36" s="22" t="s">
        <v>15</v>
      </c>
      <c r="C36" s="124" t="n">
        <v>10685.7</v>
      </c>
      <c r="D36" s="125" t="n">
        <v>13718</v>
      </c>
      <c r="E36" s="126" t="n">
        <v>10954.1</v>
      </c>
      <c r="F36" s="126" t="n">
        <v>8587.9</v>
      </c>
      <c r="G36" s="127" t="n">
        <v>9967.6</v>
      </c>
      <c r="H36" s="124" t="n">
        <v>6227.3</v>
      </c>
      <c r="I36" s="124" t="n">
        <v>7773.7</v>
      </c>
      <c r="J36" s="124" t="n">
        <v>4918.7</v>
      </c>
      <c r="K36" s="124" t="n">
        <v>4600.7</v>
      </c>
      <c r="L36" s="124" t="s">
        <v>50</v>
      </c>
      <c r="M36" s="124" t="n">
        <v>4258.4</v>
      </c>
    </row>
    <row r="37" customFormat="false" ht="15" hidden="false" customHeight="false" outlineLevel="0" collapsed="false">
      <c r="A37" s="22" t="s">
        <v>47</v>
      </c>
      <c r="B37" s="22" t="s">
        <v>27</v>
      </c>
      <c r="C37" s="22" t="n">
        <v>1.4</v>
      </c>
      <c r="D37" s="90" t="n">
        <v>2.23</v>
      </c>
      <c r="E37" s="91" t="n">
        <v>2.16</v>
      </c>
      <c r="F37" s="91" t="n">
        <v>1.88</v>
      </c>
      <c r="G37" s="92" t="n">
        <v>2.56</v>
      </c>
      <c r="H37" s="22" t="n">
        <v>1.85</v>
      </c>
      <c r="I37" s="22" t="n">
        <v>2.32</v>
      </c>
      <c r="J37" s="22" t="n">
        <v>1.74</v>
      </c>
      <c r="K37" s="22" t="n">
        <v>1.82</v>
      </c>
      <c r="L37" s="22" t="s">
        <v>50</v>
      </c>
      <c r="M37" s="22" t="n">
        <v>2.25</v>
      </c>
    </row>
    <row r="38" customFormat="false" ht="15" hidden="false" customHeight="false" outlineLevel="0" collapsed="false">
      <c r="A38" s="22" t="s">
        <v>39</v>
      </c>
      <c r="B38" s="22" t="s">
        <v>27</v>
      </c>
      <c r="C38" s="22" t="n">
        <v>20.1</v>
      </c>
      <c r="D38" s="90" t="n">
        <v>22.8</v>
      </c>
      <c r="E38" s="91" t="n">
        <v>19.6</v>
      </c>
      <c r="F38" s="91" t="n">
        <v>9.7</v>
      </c>
      <c r="G38" s="92" t="n">
        <v>13.4</v>
      </c>
      <c r="H38" s="22" t="n">
        <v>2.4</v>
      </c>
      <c r="I38" s="22" t="n">
        <v>30.1</v>
      </c>
      <c r="J38" s="22" t="n">
        <v>28.1</v>
      </c>
      <c r="K38" s="22" t="s">
        <v>50</v>
      </c>
      <c r="L38" s="22" t="s">
        <v>50</v>
      </c>
      <c r="M38" s="22" t="n">
        <v>5.4</v>
      </c>
    </row>
    <row r="39" customFormat="false" ht="15" hidden="false" customHeight="false" outlineLevel="0" collapsed="false">
      <c r="A39" s="22" t="s">
        <v>48</v>
      </c>
      <c r="B39" s="22" t="s">
        <v>27</v>
      </c>
      <c r="C39" s="22" t="n">
        <v>18.1</v>
      </c>
      <c r="D39" s="90" t="n">
        <v>14.9</v>
      </c>
      <c r="E39" s="91" t="n">
        <v>7</v>
      </c>
      <c r="F39" s="91" t="n">
        <v>13</v>
      </c>
      <c r="G39" s="92" t="n">
        <v>7</v>
      </c>
      <c r="H39" s="22" t="n">
        <v>13.3</v>
      </c>
      <c r="I39" s="22" t="n">
        <v>11.3</v>
      </c>
      <c r="J39" s="128"/>
      <c r="K39" s="128"/>
      <c r="L39" s="128"/>
      <c r="M39" s="128"/>
    </row>
    <row r="48" customFormat="false" ht="15" hidden="false" customHeight="false" outlineLevel="0" collapsed="false">
      <c r="A48" s="132" t="s">
        <v>11</v>
      </c>
      <c r="B48" s="132" t="s">
        <v>12</v>
      </c>
      <c r="C48" s="132" t="n">
        <v>2025</v>
      </c>
      <c r="D48" s="132" t="n">
        <v>2024</v>
      </c>
      <c r="E48" s="132" t="n">
        <v>2023</v>
      </c>
      <c r="F48" s="132" t="n">
        <v>2022</v>
      </c>
      <c r="G48" s="132" t="n">
        <v>2021</v>
      </c>
      <c r="H48" s="132" t="n">
        <v>2020</v>
      </c>
      <c r="I48" s="132" t="n">
        <v>2019</v>
      </c>
      <c r="J48" s="132" t="n">
        <v>2018</v>
      </c>
      <c r="K48" s="132" t="n">
        <v>2017</v>
      </c>
      <c r="L48" s="132" t="n">
        <v>2016</v>
      </c>
      <c r="M48" s="132" t="n">
        <v>2015</v>
      </c>
    </row>
    <row r="49" customFormat="false" ht="15" hidden="false" customHeight="false" outlineLevel="0" collapsed="false">
      <c r="A49" s="98" t="s">
        <v>13</v>
      </c>
    </row>
    <row r="50" customFormat="false" ht="15" hidden="false" customHeight="false" outlineLevel="0" collapsed="false">
      <c r="A50" s="98" t="s">
        <v>14</v>
      </c>
      <c r="B50" s="145" t="s">
        <v>15</v>
      </c>
      <c r="C50" s="145" t="n">
        <v>761604</v>
      </c>
      <c r="D50" s="145" t="n">
        <v>616050</v>
      </c>
      <c r="E50" s="145" t="n">
        <v>506271</v>
      </c>
      <c r="F50" s="145" t="n">
        <v>455989</v>
      </c>
      <c r="G50" s="145" t="n">
        <v>388815</v>
      </c>
      <c r="H50" s="145" t="n">
        <v>336936</v>
      </c>
      <c r="I50" s="145" t="n">
        <v>335163</v>
      </c>
      <c r="J50" s="145" t="n">
        <v>282451</v>
      </c>
      <c r="K50" s="133" t="n">
        <v>253068</v>
      </c>
      <c r="L50" s="145" t="s">
        <v>50</v>
      </c>
      <c r="M50" s="133" t="n">
        <v>189563</v>
      </c>
    </row>
    <row r="51" customFormat="false" ht="15" hidden="false" customHeight="false" outlineLevel="0" collapsed="false">
      <c r="A51" s="98" t="s">
        <v>42</v>
      </c>
      <c r="B51" s="145" t="s">
        <v>15</v>
      </c>
      <c r="C51" s="145" t="n">
        <v>477040</v>
      </c>
      <c r="D51" s="145" t="n">
        <v>410718</v>
      </c>
      <c r="E51" s="145" t="n">
        <v>353357</v>
      </c>
      <c r="F51" s="145" t="n">
        <v>308916</v>
      </c>
      <c r="G51" s="145" t="n">
        <v>269394</v>
      </c>
      <c r="H51" s="145" t="n">
        <v>228944</v>
      </c>
      <c r="I51" s="145" t="n">
        <v>232051</v>
      </c>
      <c r="J51" s="145" t="n">
        <v>209306</v>
      </c>
      <c r="K51" s="133" t="n">
        <v>184027</v>
      </c>
      <c r="L51" s="145" t="s">
        <v>50</v>
      </c>
      <c r="M51" s="133" t="n">
        <v>130226</v>
      </c>
    </row>
    <row r="52" customFormat="false" ht="15" hidden="false" customHeight="false" outlineLevel="0" collapsed="false">
      <c r="A52" s="98" t="s">
        <v>17</v>
      </c>
      <c r="B52" s="145" t="s">
        <v>15</v>
      </c>
      <c r="C52" s="145" t="n">
        <v>556454</v>
      </c>
      <c r="D52" s="145" t="n">
        <v>457692</v>
      </c>
      <c r="E52" s="145" t="n">
        <v>366104</v>
      </c>
      <c r="F52" s="145" t="n">
        <v>317097</v>
      </c>
      <c r="G52" s="145" t="n">
        <v>268019</v>
      </c>
      <c r="H52" s="145" t="n">
        <v>242358</v>
      </c>
      <c r="I52" s="145" t="n">
        <v>240164</v>
      </c>
      <c r="J52" s="145" t="n">
        <v>199629</v>
      </c>
      <c r="K52" s="133" t="n">
        <v>167348</v>
      </c>
      <c r="L52" s="145" t="s">
        <v>50</v>
      </c>
      <c r="M52" s="133" t="n">
        <v>127990</v>
      </c>
    </row>
    <row r="53" customFormat="false" ht="15" hidden="false" customHeight="false" outlineLevel="0" collapsed="false">
      <c r="A53" s="98" t="s">
        <v>18</v>
      </c>
      <c r="B53" s="145" t="s">
        <v>15</v>
      </c>
      <c r="C53" s="145" t="n">
        <v>50850</v>
      </c>
      <c r="D53" s="145" t="n">
        <v>43064</v>
      </c>
      <c r="E53" s="145" t="n">
        <v>37484</v>
      </c>
      <c r="F53" s="145" t="n">
        <v>35045</v>
      </c>
      <c r="G53" s="145" t="n">
        <v>31017</v>
      </c>
      <c r="H53" s="145" t="n">
        <v>28976</v>
      </c>
      <c r="I53" s="145" t="n">
        <v>25567</v>
      </c>
      <c r="J53" s="145" t="n">
        <v>22966</v>
      </c>
      <c r="K53" s="133" t="n">
        <v>21586</v>
      </c>
      <c r="L53" s="145" t="s">
        <v>50</v>
      </c>
      <c r="M53" s="133" t="n">
        <v>20496</v>
      </c>
    </row>
    <row r="54" customFormat="false" ht="15" hidden="false" customHeight="false" outlineLevel="0" collapsed="false">
      <c r="A54" s="98" t="s">
        <v>19</v>
      </c>
    </row>
    <row r="55" customFormat="false" ht="15" hidden="false" customHeight="false" outlineLevel="0" collapsed="false">
      <c r="A55" s="98" t="s">
        <v>20</v>
      </c>
      <c r="B55" s="145" t="s">
        <v>15</v>
      </c>
      <c r="C55" s="145" t="n">
        <v>9833</v>
      </c>
      <c r="D55" s="145" t="n">
        <v>10585</v>
      </c>
      <c r="E55" s="145" t="n">
        <v>8148</v>
      </c>
      <c r="F55" s="145" t="n">
        <v>6699</v>
      </c>
      <c r="G55" s="145" t="n">
        <v>7761</v>
      </c>
      <c r="H55" s="145" t="n">
        <v>5930</v>
      </c>
      <c r="I55" s="145" t="n">
        <v>8159</v>
      </c>
      <c r="J55" s="145" t="n">
        <v>7506</v>
      </c>
      <c r="K55" s="133" t="n">
        <v>5745</v>
      </c>
      <c r="L55" s="145" t="s">
        <v>50</v>
      </c>
      <c r="M55" s="133" t="n">
        <v>3545</v>
      </c>
    </row>
    <row r="56" customFormat="false" ht="15" hidden="false" customHeight="false" outlineLevel="0" collapsed="false">
      <c r="A56" s="98" t="s">
        <v>21</v>
      </c>
      <c r="B56" s="145" t="s">
        <v>15</v>
      </c>
      <c r="C56" s="145" t="n">
        <v>21144</v>
      </c>
      <c r="D56" s="145" t="n">
        <v>16042</v>
      </c>
      <c r="E56" s="145" t="n">
        <v>12380</v>
      </c>
      <c r="F56" s="145" t="n">
        <v>11090</v>
      </c>
      <c r="G56" s="145" t="n">
        <v>9397</v>
      </c>
      <c r="H56" s="145" t="n">
        <v>8204</v>
      </c>
      <c r="I56" s="145" t="n">
        <v>6439</v>
      </c>
      <c r="J56" s="145" t="n">
        <v>5633</v>
      </c>
      <c r="K56" s="133" t="n">
        <v>6656</v>
      </c>
      <c r="L56" s="145" t="s">
        <v>50</v>
      </c>
      <c r="M56" s="133" t="n">
        <v>6542</v>
      </c>
    </row>
    <row r="57" customFormat="false" ht="15" hidden="false" customHeight="false" outlineLevel="0" collapsed="false">
      <c r="A57" s="98" t="s">
        <v>22</v>
      </c>
      <c r="B57" s="145" t="s">
        <v>15</v>
      </c>
      <c r="C57" s="145" t="n">
        <v>9010</v>
      </c>
      <c r="D57" s="145" t="n">
        <v>7504</v>
      </c>
      <c r="E57" s="145" t="n">
        <v>6109</v>
      </c>
      <c r="F57" s="145" t="n">
        <v>5107</v>
      </c>
      <c r="G57" s="145" t="n">
        <v>4654</v>
      </c>
      <c r="H57" s="145" t="n">
        <v>4103</v>
      </c>
      <c r="I57" s="145" t="n">
        <v>4008</v>
      </c>
      <c r="J57" s="145" t="n">
        <v>3081</v>
      </c>
      <c r="K57" s="133" t="n">
        <v>2405</v>
      </c>
      <c r="L57" s="145" t="s">
        <v>50</v>
      </c>
      <c r="M57" s="133" t="n">
        <v>2221</v>
      </c>
    </row>
    <row r="58" customFormat="false" ht="15" hidden="false" customHeight="false" outlineLevel="0" collapsed="false">
      <c r="A58" s="98" t="s">
        <v>23</v>
      </c>
    </row>
    <row r="59" customFormat="false" ht="15" hidden="false" customHeight="false" outlineLevel="0" collapsed="false">
      <c r="A59" s="98" t="s">
        <v>24</v>
      </c>
      <c r="B59" s="98" t="s">
        <v>25</v>
      </c>
      <c r="C59" s="98" t="n">
        <v>5.65</v>
      </c>
      <c r="D59" s="98" t="n">
        <v>5.53</v>
      </c>
      <c r="E59" s="98" t="n">
        <v>5.06</v>
      </c>
      <c r="F59" s="98" t="n">
        <v>4.76</v>
      </c>
      <c r="G59" s="98" t="n">
        <v>4.88</v>
      </c>
      <c r="H59" s="98" t="n">
        <v>5.05</v>
      </c>
      <c r="I59" s="98" t="n">
        <v>4.94</v>
      </c>
      <c r="J59" s="98" t="n">
        <v>4.17</v>
      </c>
      <c r="K59" s="98" t="n">
        <v>3.26</v>
      </c>
      <c r="L59" s="98" t="s">
        <v>50</v>
      </c>
      <c r="M59" s="98" t="n">
        <v>3.63</v>
      </c>
    </row>
    <row r="60" customFormat="false" ht="15" hidden="false" customHeight="false" outlineLevel="0" collapsed="false">
      <c r="A60" s="98" t="s">
        <v>26</v>
      </c>
      <c r="B60" s="98" t="s">
        <v>27</v>
      </c>
      <c r="C60" s="98" t="n">
        <v>1.31</v>
      </c>
      <c r="D60" s="98" t="n">
        <v>1.34</v>
      </c>
      <c r="E60" s="98" t="n">
        <v>1.27</v>
      </c>
      <c r="F60" s="98" t="n">
        <v>1.21</v>
      </c>
      <c r="G60" s="98" t="n">
        <v>1.28</v>
      </c>
      <c r="H60" s="98" t="n">
        <v>1.22</v>
      </c>
      <c r="I60" s="98" t="n">
        <v>1.3</v>
      </c>
      <c r="J60" s="98" t="n">
        <v>1.15</v>
      </c>
      <c r="K60" s="98" t="n">
        <v>1.04</v>
      </c>
      <c r="L60" s="98" t="s">
        <v>50</v>
      </c>
      <c r="M60" s="98" t="n">
        <v>1.23</v>
      </c>
    </row>
    <row r="61" customFormat="false" ht="15" hidden="false" customHeight="false" outlineLevel="0" collapsed="false">
      <c r="A61" s="98" t="s">
        <v>28</v>
      </c>
      <c r="B61" s="98" t="s">
        <v>27</v>
      </c>
      <c r="C61" s="98" t="n">
        <v>19.13</v>
      </c>
      <c r="D61" s="98" t="n">
        <v>18.63</v>
      </c>
      <c r="E61" s="98" t="n">
        <v>16.85</v>
      </c>
      <c r="F61" s="98" t="n">
        <v>15.46</v>
      </c>
      <c r="G61" s="98" t="n">
        <v>15.51</v>
      </c>
      <c r="H61" s="98" t="n">
        <v>15.04</v>
      </c>
      <c r="I61" s="98" t="n">
        <v>16.52</v>
      </c>
      <c r="J61" s="98" t="n">
        <v>13.83</v>
      </c>
      <c r="K61" s="98" t="n">
        <v>11.41</v>
      </c>
      <c r="L61" s="98" t="s">
        <v>50</v>
      </c>
      <c r="M61" s="98" t="n">
        <v>10.95</v>
      </c>
    </row>
    <row r="62" customFormat="false" ht="15" hidden="false" customHeight="false" outlineLevel="0" collapsed="false">
      <c r="A62" s="98" t="s">
        <v>29</v>
      </c>
    </row>
    <row r="63" customFormat="false" ht="15" hidden="false" customHeight="false" outlineLevel="0" collapsed="false">
      <c r="A63" s="98" t="s">
        <v>33</v>
      </c>
      <c r="B63" s="98" t="s">
        <v>27</v>
      </c>
      <c r="C63" s="98" t="n">
        <v>74.65</v>
      </c>
      <c r="D63" s="98" t="n">
        <v>80.19</v>
      </c>
      <c r="E63" s="98" t="n">
        <v>79.45</v>
      </c>
      <c r="F63" s="98" t="n">
        <v>77.83</v>
      </c>
      <c r="G63" s="98" t="n">
        <v>79.69</v>
      </c>
      <c r="H63" s="98" t="n">
        <v>74.13</v>
      </c>
      <c r="I63" s="98" t="n">
        <v>77.2</v>
      </c>
      <c r="J63" s="98" t="n">
        <v>83.08</v>
      </c>
      <c r="K63" s="98" t="n">
        <v>83.06</v>
      </c>
      <c r="L63" s="98" t="s">
        <v>50</v>
      </c>
      <c r="M63" s="98" t="n">
        <v>87.87</v>
      </c>
    </row>
    <row r="64" customFormat="false" ht="15" hidden="false" customHeight="false" outlineLevel="0" collapsed="false">
      <c r="A64" s="98" t="s">
        <v>30</v>
      </c>
      <c r="B64" s="133" t="s">
        <v>27</v>
      </c>
      <c r="C64" s="133" t="n">
        <v>2.24</v>
      </c>
      <c r="D64" s="133" t="n">
        <v>3.34</v>
      </c>
      <c r="E64" s="133" t="n">
        <v>3.1</v>
      </c>
      <c r="F64" s="133" t="n">
        <v>2.78</v>
      </c>
      <c r="G64" s="133" t="n">
        <v>3.7</v>
      </c>
      <c r="H64" s="133" t="n">
        <v>2.72</v>
      </c>
      <c r="I64" s="133" t="n">
        <v>3.35</v>
      </c>
      <c r="J64" s="133" t="n">
        <v>2.35</v>
      </c>
      <c r="K64" s="98" t="n">
        <v>2.5</v>
      </c>
      <c r="L64" s="133" t="s">
        <v>50</v>
      </c>
      <c r="M64" s="98" t="n">
        <v>3.27</v>
      </c>
    </row>
    <row r="65" customFormat="false" ht="15" hidden="false" customHeight="false" outlineLevel="0" collapsed="false">
      <c r="A65" s="98" t="s">
        <v>32</v>
      </c>
      <c r="B65" s="98" t="s">
        <v>27</v>
      </c>
      <c r="C65" s="98" t="n">
        <v>161.04</v>
      </c>
      <c r="D65" s="98" t="n">
        <v>114.49</v>
      </c>
      <c r="E65" s="98" t="n">
        <v>147.61</v>
      </c>
      <c r="F65" s="98" t="n">
        <v>168.46</v>
      </c>
      <c r="G65" s="98" t="n">
        <v>141.31</v>
      </c>
      <c r="H65" s="98" t="n">
        <v>179.51</v>
      </c>
      <c r="I65" s="98" t="n">
        <v>120.42</v>
      </c>
      <c r="J65" s="98" t="n">
        <v>150.39</v>
      </c>
      <c r="K65" s="98" t="n">
        <v>159.52</v>
      </c>
      <c r="L65" s="98" t="s">
        <v>50</v>
      </c>
      <c r="M65" s="98" t="n">
        <v>116.85</v>
      </c>
    </row>
    <row r="66" customFormat="false" ht="15" hidden="false" customHeight="false" outlineLevel="0" collapsed="false">
      <c r="A66" s="98" t="s">
        <v>34</v>
      </c>
      <c r="B66" s="96"/>
      <c r="C66" s="96"/>
      <c r="D66" s="96"/>
      <c r="E66" s="96"/>
      <c r="F66" s="96"/>
      <c r="G66" s="96"/>
      <c r="H66" s="96"/>
      <c r="I66" s="96"/>
      <c r="J66" s="96"/>
      <c r="K66" s="98"/>
      <c r="L66" s="96"/>
    </row>
    <row r="67" customFormat="false" ht="15" hidden="false" customHeight="false" outlineLevel="0" collapsed="false">
      <c r="A67" s="98" t="s">
        <v>43</v>
      </c>
      <c r="B67" s="98" t="s">
        <v>27</v>
      </c>
      <c r="C67" s="98" t="n">
        <v>14.88</v>
      </c>
      <c r="D67" s="98" t="n">
        <v>14.65</v>
      </c>
      <c r="E67" s="98" t="n">
        <v>15.07</v>
      </c>
      <c r="F67" s="98" t="n">
        <v>14.61</v>
      </c>
      <c r="G67" s="98" t="n">
        <v>13.87</v>
      </c>
      <c r="H67" s="98" t="n">
        <v>15.03</v>
      </c>
      <c r="I67" s="98" t="n">
        <v>14.74</v>
      </c>
      <c r="J67" s="98" t="n">
        <v>12.16</v>
      </c>
      <c r="K67" s="98" t="n">
        <v>14.09</v>
      </c>
      <c r="L67" s="98" t="s">
        <v>50</v>
      </c>
      <c r="M67" s="98" t="n">
        <v>13.92</v>
      </c>
    </row>
    <row r="68" customFormat="false" ht="15" hidden="false" customHeight="false" outlineLevel="0" collapsed="false">
      <c r="A68" s="98" t="s">
        <v>44</v>
      </c>
      <c r="B68" s="98" t="s">
        <v>27</v>
      </c>
      <c r="C68" s="98" t="n">
        <v>41.69</v>
      </c>
      <c r="D68" s="98" t="n">
        <v>40.95</v>
      </c>
      <c r="E68" s="98" t="n">
        <v>44.22</v>
      </c>
      <c r="F68" s="98" t="n">
        <v>43.53</v>
      </c>
      <c r="G68" s="98" t="n">
        <v>39.1</v>
      </c>
      <c r="H68" s="98" t="n">
        <v>45.8</v>
      </c>
      <c r="I68" s="98" t="n">
        <v>43.76</v>
      </c>
      <c r="J68" s="98" t="n">
        <v>45.63</v>
      </c>
      <c r="K68" s="98" t="n">
        <v>45.2</v>
      </c>
      <c r="L68" s="98" t="s">
        <v>50</v>
      </c>
      <c r="M68" s="98" t="n">
        <v>48.33</v>
      </c>
    </row>
    <row r="69" customFormat="false" ht="15" hidden="false" customHeight="false" outlineLevel="0" collapsed="false">
      <c r="A69" s="98" t="s">
        <v>52</v>
      </c>
      <c r="B69" s="96"/>
      <c r="C69" s="96"/>
      <c r="D69" s="96"/>
      <c r="E69" s="96"/>
      <c r="F69" s="96"/>
      <c r="G69" s="96"/>
      <c r="H69" s="96"/>
      <c r="I69" s="96"/>
      <c r="J69" s="96"/>
      <c r="K69" s="98"/>
      <c r="L69" s="96"/>
    </row>
    <row r="70" customFormat="false" ht="15" hidden="false" customHeight="false" outlineLevel="0" collapsed="false">
      <c r="A70" s="98" t="s">
        <v>46</v>
      </c>
      <c r="B70" s="98" t="s">
        <v>15</v>
      </c>
      <c r="C70" s="133" t="n">
        <v>10685.7</v>
      </c>
      <c r="D70" s="133" t="n">
        <v>13718</v>
      </c>
      <c r="E70" s="133" t="n">
        <v>10954.1</v>
      </c>
      <c r="F70" s="133" t="n">
        <v>8587.9</v>
      </c>
      <c r="G70" s="133" t="n">
        <v>9967.6</v>
      </c>
      <c r="H70" s="133" t="n">
        <v>6227.3</v>
      </c>
      <c r="I70" s="133" t="n">
        <v>7773.7</v>
      </c>
      <c r="J70" s="133" t="n">
        <v>4918.7</v>
      </c>
      <c r="K70" s="133" t="n">
        <v>4600.7</v>
      </c>
      <c r="L70" s="98" t="s">
        <v>50</v>
      </c>
      <c r="M70" s="133" t="n">
        <v>4258.4</v>
      </c>
    </row>
    <row r="71" customFormat="false" ht="15" hidden="false" customHeight="false" outlineLevel="0" collapsed="false">
      <c r="A71" s="98" t="s">
        <v>47</v>
      </c>
      <c r="B71" s="98" t="s">
        <v>27</v>
      </c>
      <c r="C71" s="98" t="n">
        <v>1.4</v>
      </c>
      <c r="D71" s="98" t="n">
        <v>2.23</v>
      </c>
      <c r="E71" s="98" t="n">
        <v>2.16</v>
      </c>
      <c r="F71" s="98" t="n">
        <v>1.88</v>
      </c>
      <c r="G71" s="98" t="n">
        <v>2.56</v>
      </c>
      <c r="H71" s="98" t="n">
        <v>1.85</v>
      </c>
      <c r="I71" s="98" t="n">
        <v>2.32</v>
      </c>
      <c r="J71" s="98" t="n">
        <v>1.74</v>
      </c>
      <c r="K71" s="98" t="n">
        <v>1.82</v>
      </c>
      <c r="L71" s="98" t="s">
        <v>50</v>
      </c>
      <c r="M71" s="98" t="n">
        <v>2.25</v>
      </c>
    </row>
    <row r="72" customFormat="false" ht="15" hidden="false" customHeight="false" outlineLevel="0" collapsed="false">
      <c r="A72" s="98" t="s">
        <v>39</v>
      </c>
      <c r="B72" s="98" t="s">
        <v>27</v>
      </c>
      <c r="C72" s="98" t="n">
        <v>20.1</v>
      </c>
      <c r="D72" s="98" t="n">
        <v>22.8</v>
      </c>
      <c r="E72" s="98" t="n">
        <v>19.6</v>
      </c>
      <c r="F72" s="98" t="n">
        <v>9.7</v>
      </c>
      <c r="G72" s="98" t="n">
        <v>13.4</v>
      </c>
      <c r="H72" s="98" t="n">
        <v>2.4</v>
      </c>
      <c r="I72" s="98" t="n">
        <v>30.1</v>
      </c>
      <c r="J72" s="133" t="n">
        <v>28.1</v>
      </c>
      <c r="K72" s="98" t="s">
        <v>50</v>
      </c>
      <c r="L72" s="98" t="s">
        <v>50</v>
      </c>
      <c r="M72" s="98" t="n">
        <v>5.4</v>
      </c>
    </row>
    <row r="73" customFormat="false" ht="15" hidden="false" customHeight="false" outlineLevel="0" collapsed="false">
      <c r="A73" s="98" t="s">
        <v>48</v>
      </c>
      <c r="B73" s="98" t="s">
        <v>27</v>
      </c>
      <c r="C73" s="98" t="n">
        <v>18.1</v>
      </c>
      <c r="D73" s="98" t="n">
        <v>14.9</v>
      </c>
      <c r="E73" s="98" t="n">
        <v>7</v>
      </c>
      <c r="F73" s="98" t="n">
        <v>13</v>
      </c>
      <c r="G73" s="98" t="n">
        <v>7</v>
      </c>
      <c r="H73" s="98" t="n">
        <v>13.3</v>
      </c>
      <c r="I73" s="98" t="n">
        <v>11.3</v>
      </c>
      <c r="J73" s="98" t="s">
        <v>50</v>
      </c>
      <c r="K73" s="98" t="s">
        <v>50</v>
      </c>
      <c r="L73" s="96" t="n">
        <v>0.101</v>
      </c>
    </row>
    <row r="74" customFormat="false" ht="15" hidden="false" customHeight="false" outlineLevel="0" collapsed="false">
      <c r="A74" s="98" t="s">
        <v>39</v>
      </c>
      <c r="B74" s="96" t="n">
        <v>0.201</v>
      </c>
      <c r="C74" s="96" t="n">
        <v>0.228</v>
      </c>
      <c r="D74" s="96" t="n">
        <v>0.196</v>
      </c>
      <c r="E74" s="96" t="n">
        <v>0.097</v>
      </c>
      <c r="F74" s="96" t="n">
        <v>0.134</v>
      </c>
      <c r="G74" s="96" t="n">
        <v>0.024</v>
      </c>
      <c r="H74" s="96" t="n">
        <v>0.301</v>
      </c>
      <c r="I74" s="96" t="n">
        <v>0.281</v>
      </c>
      <c r="J74" s="98" t="s">
        <v>60</v>
      </c>
      <c r="K74" s="98" t="s">
        <v>50</v>
      </c>
      <c r="L74" s="96" t="n">
        <v>0.054</v>
      </c>
    </row>
    <row r="75" customFormat="false" ht="15" hidden="false" customHeight="false" outlineLevel="0" collapsed="false">
      <c r="A75" s="98" t="s">
        <v>48</v>
      </c>
      <c r="B75" s="96" t="n">
        <v>0.181</v>
      </c>
      <c r="C75" s="96" t="n">
        <v>0.149</v>
      </c>
      <c r="D75" s="96" t="n">
        <v>0.07</v>
      </c>
      <c r="E75" s="96" t="n">
        <v>0.13</v>
      </c>
      <c r="F75" s="96" t="n">
        <v>0.07</v>
      </c>
      <c r="G75" s="96" t="n">
        <v>0.133</v>
      </c>
      <c r="H75" s="96" t="n">
        <v>0.113</v>
      </c>
      <c r="I75" s="96" t="n">
        <v>0.064</v>
      </c>
      <c r="J75" s="98" t="s">
        <v>60</v>
      </c>
      <c r="K75" s="98" t="s">
        <v>50</v>
      </c>
      <c r="L75" s="96" t="n">
        <v>0.02</v>
      </c>
    </row>
  </sheetData>
  <mergeCells count="12">
    <mergeCell ref="B2:F2"/>
    <mergeCell ref="A3:A12"/>
    <mergeCell ref="B3:H3"/>
    <mergeCell ref="B4:G4"/>
    <mergeCell ref="B5:G5"/>
    <mergeCell ref="B6:G6"/>
    <mergeCell ref="B7:G7"/>
    <mergeCell ref="B8:G8"/>
    <mergeCell ref="B9:G9"/>
    <mergeCell ref="B10:G10"/>
    <mergeCell ref="B11:G11"/>
    <mergeCell ref="B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M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5.14"/>
  </cols>
  <sheetData>
    <row r="3" customFormat="false" ht="18.55" hidden="false" customHeight="false" outlineLevel="0" collapsed="false">
      <c r="A3" s="43"/>
      <c r="B3" s="75" t="s">
        <v>61</v>
      </c>
      <c r="C3" s="75"/>
      <c r="D3" s="75"/>
      <c r="E3" s="75"/>
    </row>
    <row r="4" customFormat="false" ht="16.15" hidden="false" customHeight="false" outlineLevel="0" collapsed="false">
      <c r="A4" s="43"/>
      <c r="B4" s="146" t="s">
        <v>1</v>
      </c>
      <c r="C4" s="146"/>
      <c r="D4" s="146"/>
      <c r="E4" s="146"/>
      <c r="F4" s="146"/>
      <c r="G4" s="146"/>
      <c r="H4" s="146"/>
    </row>
    <row r="5" customFormat="false" ht="15" hidden="false" customHeight="false" outlineLevel="0" collapsed="false">
      <c r="A5" s="43"/>
      <c r="B5" s="5" t="s">
        <v>2</v>
      </c>
      <c r="C5" s="5"/>
      <c r="D5" s="5"/>
      <c r="E5" s="5"/>
      <c r="F5" s="5"/>
      <c r="G5" s="5"/>
      <c r="H5" s="7" t="n">
        <f aca="false">AVERAGE(C28:M28)</f>
        <v>0.135127272727273</v>
      </c>
    </row>
    <row r="6" customFormat="false" ht="15" hidden="false" customHeight="false" outlineLevel="0" collapsed="false">
      <c r="A6" s="43"/>
      <c r="B6" s="5" t="s">
        <v>3</v>
      </c>
      <c r="C6" s="5"/>
      <c r="D6" s="5"/>
      <c r="E6" s="5"/>
      <c r="F6" s="5"/>
      <c r="G6" s="5"/>
      <c r="H6" s="7" t="n">
        <f aca="false">STDEV(C28:M28)</f>
        <v>0.0203210280699128</v>
      </c>
    </row>
    <row r="7" customFormat="false" ht="15" hidden="false" customHeight="false" outlineLevel="0" collapsed="false">
      <c r="A7" s="43"/>
      <c r="B7" s="5" t="s">
        <v>4</v>
      </c>
      <c r="C7" s="5"/>
      <c r="D7" s="5"/>
      <c r="E7" s="5"/>
      <c r="F7" s="5"/>
      <c r="G7" s="5"/>
      <c r="H7" s="6" t="n">
        <f aca="false">(H5-0.03)/H6</f>
        <v>5.17332451712538</v>
      </c>
    </row>
    <row r="8" customFormat="false" ht="15" hidden="false" customHeight="false" outlineLevel="0" collapsed="false">
      <c r="A8" s="43"/>
      <c r="B8" s="5" t="s">
        <v>5</v>
      </c>
      <c r="C8" s="5"/>
      <c r="D8" s="5"/>
      <c r="E8" s="5"/>
      <c r="F8" s="5"/>
      <c r="G8" s="5"/>
      <c r="H8" s="7" t="n">
        <f aca="false">AVERAGE(D28:I28)</f>
        <v>0.141166666666667</v>
      </c>
    </row>
    <row r="9" customFormat="false" ht="15" hidden="false" customHeight="false" outlineLevel="0" collapsed="false">
      <c r="A9" s="43"/>
      <c r="B9" s="5" t="s">
        <v>6</v>
      </c>
      <c r="C9" s="5"/>
      <c r="D9" s="5"/>
      <c r="E9" s="5"/>
      <c r="F9" s="5"/>
      <c r="G9" s="5"/>
      <c r="H9" s="7" t="n">
        <f aca="false">STDEV(D28:I28)</f>
        <v>0.0208486610281492</v>
      </c>
    </row>
    <row r="10" customFormat="false" ht="15" hidden="false" customHeight="false" outlineLevel="0" collapsed="false">
      <c r="A10" s="43"/>
      <c r="B10" s="5" t="s">
        <v>7</v>
      </c>
      <c r="C10" s="5"/>
      <c r="D10" s="5"/>
      <c r="E10" s="5"/>
      <c r="F10" s="5"/>
      <c r="G10" s="5"/>
      <c r="H10" s="6" t="n">
        <f aca="false">(H8-0.03)/H9</f>
        <v>5.33207703442312</v>
      </c>
    </row>
    <row r="11" customFormat="false" ht="15" hidden="false" customHeight="false" outlineLevel="0" collapsed="false">
      <c r="A11" s="43"/>
      <c r="B11" s="5" t="s">
        <v>8</v>
      </c>
      <c r="C11" s="5"/>
      <c r="D11" s="5"/>
      <c r="E11" s="5"/>
      <c r="F11" s="5"/>
      <c r="G11" s="5"/>
      <c r="H11" s="7" t="n">
        <f aca="false">(C20/M20)^(1/10)-1</f>
        <v>0.040218881780975</v>
      </c>
    </row>
    <row r="12" customFormat="false" ht="15" hidden="false" customHeight="false" outlineLevel="0" collapsed="false">
      <c r="A12" s="43"/>
      <c r="B12" s="5" t="s">
        <v>9</v>
      </c>
      <c r="C12" s="5"/>
      <c r="D12" s="5"/>
      <c r="E12" s="5"/>
      <c r="F12" s="5"/>
      <c r="G12" s="5"/>
      <c r="H12" s="8" t="n">
        <v>-42.3</v>
      </c>
    </row>
    <row r="13" customFormat="false" ht="15" hidden="false" customHeight="false" outlineLevel="0" collapsed="false">
      <c r="A13" s="43"/>
      <c r="B13" s="5" t="s">
        <v>10</v>
      </c>
      <c r="C13" s="5"/>
      <c r="D13" s="5"/>
      <c r="E13" s="5"/>
      <c r="F13" s="5"/>
      <c r="G13" s="5"/>
      <c r="H13" s="9" t="n">
        <f aca="false">SLOPE(C31:M31,C15:M15)*100</f>
        <v>0.47465367965368</v>
      </c>
    </row>
    <row r="15" customFormat="false" ht="15" hidden="false" customHeight="false" outlineLevel="0" collapsed="false">
      <c r="A15" s="147" t="s">
        <v>11</v>
      </c>
      <c r="B15" s="147" t="s">
        <v>12</v>
      </c>
      <c r="C15" s="148" t="n">
        <v>2025</v>
      </c>
      <c r="D15" s="149" t="n">
        <v>2024</v>
      </c>
      <c r="E15" s="150" t="n">
        <v>2023</v>
      </c>
      <c r="F15" s="150" t="n">
        <v>2022</v>
      </c>
      <c r="G15" s="151" t="n">
        <v>2021</v>
      </c>
      <c r="H15" s="148" t="n">
        <v>2020</v>
      </c>
      <c r="I15" s="148" t="n">
        <v>2019</v>
      </c>
      <c r="J15" s="148" t="n">
        <v>2018</v>
      </c>
      <c r="K15" s="148" t="n">
        <v>2017</v>
      </c>
      <c r="L15" s="148" t="n">
        <v>2016</v>
      </c>
      <c r="M15" s="148" t="n">
        <v>2015</v>
      </c>
    </row>
    <row r="16" customFormat="false" ht="15" hidden="false" customHeight="false" outlineLevel="0" collapsed="false">
      <c r="A16" s="152" t="s">
        <v>13</v>
      </c>
      <c r="B16" s="153"/>
      <c r="C16" s="153"/>
      <c r="D16" s="154"/>
      <c r="E16" s="155"/>
      <c r="F16" s="155"/>
      <c r="G16" s="156"/>
      <c r="H16" s="153"/>
      <c r="I16" s="153"/>
      <c r="J16" s="153"/>
      <c r="K16" s="153"/>
      <c r="L16" s="153"/>
      <c r="M16" s="153"/>
    </row>
    <row r="17" customFormat="false" ht="15" hidden="false" customHeight="false" outlineLevel="0" collapsed="false">
      <c r="A17" s="22" t="s">
        <v>14</v>
      </c>
      <c r="B17" s="22" t="s">
        <v>15</v>
      </c>
      <c r="C17" s="26" t="n">
        <v>505192</v>
      </c>
      <c r="D17" s="23" t="n">
        <v>457204</v>
      </c>
      <c r="E17" s="63" t="n">
        <v>366606</v>
      </c>
      <c r="F17" s="63" t="n">
        <v>353644</v>
      </c>
      <c r="G17" s="25" t="n">
        <v>306501</v>
      </c>
      <c r="H17" s="26" t="n">
        <v>336936</v>
      </c>
      <c r="I17" s="26" t="n">
        <v>335163</v>
      </c>
      <c r="J17" s="26" t="n">
        <v>282451</v>
      </c>
      <c r="K17" s="26" t="n">
        <v>253068</v>
      </c>
      <c r="L17" s="124" t="s">
        <v>62</v>
      </c>
      <c r="M17" s="124" t="n">
        <v>189563</v>
      </c>
    </row>
    <row r="18" customFormat="false" ht="15" hidden="false" customHeight="false" outlineLevel="0" collapsed="false">
      <c r="A18" s="22" t="s">
        <v>42</v>
      </c>
      <c r="B18" s="22" t="s">
        <v>15</v>
      </c>
      <c r="C18" s="26" t="n">
        <v>319105</v>
      </c>
      <c r="D18" s="23" t="n">
        <v>300780</v>
      </c>
      <c r="E18" s="63" t="n">
        <v>261023</v>
      </c>
      <c r="F18" s="63" t="n">
        <v>253836</v>
      </c>
      <c r="G18" s="25" t="n">
        <v>226012</v>
      </c>
      <c r="H18" s="26" t="n">
        <v>228944</v>
      </c>
      <c r="I18" s="26" t="n">
        <v>232051</v>
      </c>
      <c r="J18" s="26" t="n">
        <v>209306</v>
      </c>
      <c r="K18" s="26" t="n">
        <v>184027</v>
      </c>
      <c r="L18" s="124" t="s">
        <v>63</v>
      </c>
      <c r="M18" s="124" t="n">
        <v>130226</v>
      </c>
    </row>
    <row r="19" customFormat="false" ht="15" hidden="false" customHeight="false" outlineLevel="0" collapsed="false">
      <c r="A19" s="22" t="s">
        <v>17</v>
      </c>
      <c r="B19" s="22" t="s">
        <v>15</v>
      </c>
      <c r="C19" s="26" t="n">
        <v>364086</v>
      </c>
      <c r="D19" s="23" t="n">
        <v>328837</v>
      </c>
      <c r="E19" s="63" t="n">
        <v>262584</v>
      </c>
      <c r="F19" s="63" t="n">
        <v>232657</v>
      </c>
      <c r="G19" s="25" t="n">
        <v>211782</v>
      </c>
      <c r="H19" s="26" t="n">
        <v>242358</v>
      </c>
      <c r="I19" s="26" t="n">
        <v>240164</v>
      </c>
      <c r="J19" s="26" t="n">
        <v>199629</v>
      </c>
      <c r="K19" s="26" t="n">
        <v>167348</v>
      </c>
      <c r="L19" s="124" t="s">
        <v>64</v>
      </c>
      <c r="M19" s="124" t="n">
        <v>127990</v>
      </c>
    </row>
    <row r="20" customFormat="false" ht="15" hidden="false" customHeight="false" outlineLevel="0" collapsed="false">
      <c r="A20" s="22" t="s">
        <v>18</v>
      </c>
      <c r="B20" s="22" t="s">
        <v>15</v>
      </c>
      <c r="C20" s="26" t="n">
        <v>30403</v>
      </c>
      <c r="D20" s="23" t="n">
        <v>25505</v>
      </c>
      <c r="E20" s="63" t="n">
        <v>24106</v>
      </c>
      <c r="F20" s="63" t="n">
        <v>21331</v>
      </c>
      <c r="G20" s="25" t="n">
        <v>19655</v>
      </c>
      <c r="H20" s="26" t="n">
        <v>28976</v>
      </c>
      <c r="I20" s="26" t="n">
        <v>25567</v>
      </c>
      <c r="J20" s="26" t="n">
        <v>22966</v>
      </c>
      <c r="K20" s="26" t="n">
        <v>21586</v>
      </c>
      <c r="L20" s="124" t="s">
        <v>50</v>
      </c>
      <c r="M20" s="124" t="n">
        <v>20496</v>
      </c>
    </row>
    <row r="21" customFormat="false" ht="15" hidden="false" customHeight="false" outlineLevel="0" collapsed="false">
      <c r="A21" s="152" t="s">
        <v>19</v>
      </c>
      <c r="B21" s="153"/>
      <c r="C21" s="153"/>
      <c r="D21" s="154"/>
      <c r="E21" s="155"/>
      <c r="F21" s="155"/>
      <c r="G21" s="156"/>
      <c r="H21" s="153"/>
      <c r="I21" s="153"/>
      <c r="J21" s="153"/>
      <c r="K21" s="153"/>
      <c r="L21" s="153"/>
      <c r="M21" s="153"/>
    </row>
    <row r="22" customFormat="false" ht="15" hidden="false" customHeight="false" outlineLevel="0" collapsed="false">
      <c r="A22" s="22" t="s">
        <v>20</v>
      </c>
      <c r="B22" s="22" t="s">
        <v>15</v>
      </c>
      <c r="C22" s="26" t="n">
        <v>2848</v>
      </c>
      <c r="D22" s="23" t="n">
        <v>8065</v>
      </c>
      <c r="E22" s="63" t="n">
        <v>7253</v>
      </c>
      <c r="F22" s="63" t="n">
        <v>3867</v>
      </c>
      <c r="G22" s="25" t="n">
        <v>5747</v>
      </c>
      <c r="H22" s="26" t="n">
        <v>5930</v>
      </c>
      <c r="I22" s="26" t="n">
        <v>8159</v>
      </c>
      <c r="J22" s="26" t="n">
        <v>7506</v>
      </c>
      <c r="K22" s="26" t="n">
        <v>5745</v>
      </c>
      <c r="L22" s="124" t="s">
        <v>50</v>
      </c>
      <c r="M22" s="124" t="n">
        <v>3545</v>
      </c>
    </row>
    <row r="23" customFormat="false" ht="15" hidden="false" customHeight="false" outlineLevel="0" collapsed="false">
      <c r="A23" s="22" t="s">
        <v>21</v>
      </c>
      <c r="B23" s="22" t="s">
        <v>15</v>
      </c>
      <c r="C23" s="26" t="n">
        <v>19647</v>
      </c>
      <c r="D23" s="23" t="n">
        <v>14444</v>
      </c>
      <c r="E23" s="63" t="n">
        <v>10233</v>
      </c>
      <c r="F23" s="63" t="n">
        <v>12235</v>
      </c>
      <c r="G23" s="25" t="n">
        <v>7057</v>
      </c>
      <c r="H23" s="26" t="n">
        <v>8204</v>
      </c>
      <c r="I23" s="26" t="n">
        <v>6439</v>
      </c>
      <c r="J23" s="26" t="n">
        <v>5633</v>
      </c>
      <c r="K23" s="26" t="n">
        <v>6656</v>
      </c>
      <c r="L23" s="124" t="s">
        <v>50</v>
      </c>
      <c r="M23" s="124" t="n">
        <v>6542</v>
      </c>
    </row>
    <row r="24" customFormat="false" ht="15" hidden="false" customHeight="false" outlineLevel="0" collapsed="false">
      <c r="A24" s="22" t="s">
        <v>22</v>
      </c>
      <c r="B24" s="22" t="s">
        <v>15</v>
      </c>
      <c r="C24" s="26" t="n">
        <v>3393</v>
      </c>
      <c r="D24" s="23" t="n">
        <v>3167</v>
      </c>
      <c r="E24" s="63" t="n">
        <v>2860</v>
      </c>
      <c r="F24" s="63" t="n">
        <v>2369</v>
      </c>
      <c r="G24" s="25" t="n">
        <v>2973</v>
      </c>
      <c r="H24" s="26" t="n">
        <v>4103</v>
      </c>
      <c r="I24" s="26" t="n">
        <v>4008</v>
      </c>
      <c r="J24" s="26" t="n">
        <v>3081</v>
      </c>
      <c r="K24" s="26" t="n">
        <v>2405</v>
      </c>
      <c r="L24" s="124" t="n">
        <v>1464</v>
      </c>
      <c r="M24" s="124" t="n">
        <v>2221</v>
      </c>
    </row>
    <row r="25" customFormat="false" ht="15" hidden="false" customHeight="false" outlineLevel="0" collapsed="false">
      <c r="A25" s="152" t="s">
        <v>23</v>
      </c>
      <c r="B25" s="153"/>
      <c r="C25" s="153"/>
      <c r="D25" s="154"/>
      <c r="E25" s="155"/>
      <c r="F25" s="155"/>
      <c r="G25" s="156"/>
      <c r="H25" s="153"/>
      <c r="I25" s="153"/>
      <c r="J25" s="153"/>
      <c r="K25" s="153"/>
      <c r="L25" s="153"/>
      <c r="M25" s="153"/>
    </row>
    <row r="26" customFormat="false" ht="15" hidden="false" customHeight="false" outlineLevel="0" collapsed="false">
      <c r="A26" s="22" t="s">
        <v>24</v>
      </c>
      <c r="B26" s="22" t="s">
        <v>25</v>
      </c>
      <c r="C26" s="22" t="n">
        <v>3.14</v>
      </c>
      <c r="D26" s="90" t="n">
        <v>3.22</v>
      </c>
      <c r="E26" s="91" t="n">
        <v>2.91</v>
      </c>
      <c r="F26" s="91" t="n">
        <v>2.65</v>
      </c>
      <c r="G26" s="92" t="n">
        <v>3.66</v>
      </c>
      <c r="H26" s="22" t="n">
        <v>5.05</v>
      </c>
      <c r="I26" s="22" t="n">
        <v>4.94</v>
      </c>
      <c r="J26" s="22" t="n">
        <v>4.17</v>
      </c>
      <c r="K26" s="22" t="n">
        <v>3.26</v>
      </c>
      <c r="L26" s="22" t="n">
        <v>3.3</v>
      </c>
      <c r="M26" s="22" t="n">
        <v>3.63</v>
      </c>
    </row>
    <row r="27" customFormat="false" ht="15" hidden="false" customHeight="false" outlineLevel="0" collapsed="false">
      <c r="A27" s="22" t="s">
        <v>26</v>
      </c>
      <c r="B27" s="22" t="s">
        <v>27</v>
      </c>
      <c r="C27" s="128" t="n">
        <v>0.0071</v>
      </c>
      <c r="D27" s="129" t="n">
        <v>0.0077</v>
      </c>
      <c r="E27" s="130" t="n">
        <v>0.0079</v>
      </c>
      <c r="F27" s="130" t="n">
        <v>0.0072</v>
      </c>
      <c r="G27" s="131" t="n">
        <v>0.0103</v>
      </c>
      <c r="H27" s="128" t="n">
        <v>0.0122</v>
      </c>
      <c r="I27" s="128" t="n">
        <v>0.013</v>
      </c>
      <c r="J27" s="128" t="n">
        <v>0.0115</v>
      </c>
      <c r="K27" s="128" t="n">
        <v>0.0104</v>
      </c>
      <c r="L27" s="22" t="s">
        <v>50</v>
      </c>
      <c r="M27" s="128" t="n">
        <v>0.0123</v>
      </c>
    </row>
    <row r="28" customFormat="false" ht="15" hidden="false" customHeight="false" outlineLevel="0" collapsed="false">
      <c r="A28" s="157" t="s">
        <v>28</v>
      </c>
      <c r="B28" s="22" t="s">
        <v>27</v>
      </c>
      <c r="C28" s="128" t="n">
        <v>0.1214</v>
      </c>
      <c r="D28" s="129" t="n">
        <v>0.1277</v>
      </c>
      <c r="E28" s="130" t="n">
        <v>0.1259</v>
      </c>
      <c r="F28" s="130" t="n">
        <v>0.1156</v>
      </c>
      <c r="G28" s="131" t="n">
        <v>0.1622</v>
      </c>
      <c r="H28" s="128" t="n">
        <v>0.1504</v>
      </c>
      <c r="I28" s="128" t="n">
        <v>0.1652</v>
      </c>
      <c r="J28" s="128" t="n">
        <v>0.1383</v>
      </c>
      <c r="K28" s="128" t="n">
        <v>0.1141</v>
      </c>
      <c r="L28" s="128" t="n">
        <v>0.1561</v>
      </c>
      <c r="M28" s="128" t="n">
        <v>0.1095</v>
      </c>
    </row>
    <row r="29" customFormat="false" ht="15" hidden="false" customHeight="false" outlineLevel="0" collapsed="false">
      <c r="A29" s="152" t="s">
        <v>29</v>
      </c>
      <c r="B29" s="153"/>
      <c r="C29" s="153"/>
      <c r="D29" s="154"/>
      <c r="E29" s="155"/>
      <c r="F29" s="155"/>
      <c r="G29" s="156"/>
      <c r="H29" s="153"/>
      <c r="I29" s="153"/>
      <c r="J29" s="153"/>
      <c r="K29" s="153"/>
      <c r="L29" s="153"/>
      <c r="M29" s="153"/>
    </row>
    <row r="30" customFormat="false" ht="15" hidden="false" customHeight="false" outlineLevel="0" collapsed="false">
      <c r="A30" s="22" t="s">
        <v>33</v>
      </c>
      <c r="B30" s="22" t="s">
        <v>27</v>
      </c>
      <c r="C30" s="128" t="n">
        <v>0.7505</v>
      </c>
      <c r="D30" s="129" t="n">
        <v>0.7676</v>
      </c>
      <c r="E30" s="130" t="n">
        <v>0.8419</v>
      </c>
      <c r="F30" s="130" t="n">
        <v>0.8397</v>
      </c>
      <c r="G30" s="131" t="n">
        <v>0.8242</v>
      </c>
      <c r="H30" s="128" t="n">
        <v>0.7413</v>
      </c>
      <c r="I30" s="128" t="n">
        <v>0.772</v>
      </c>
      <c r="J30" s="128" t="n">
        <v>0.8308</v>
      </c>
      <c r="K30" s="128" t="n">
        <v>0.8306</v>
      </c>
      <c r="L30" s="22" t="s">
        <v>50</v>
      </c>
      <c r="M30" s="128" t="n">
        <v>0.8787</v>
      </c>
    </row>
    <row r="31" customFormat="false" ht="15" hidden="false" customHeight="false" outlineLevel="0" collapsed="false">
      <c r="A31" s="22" t="s">
        <v>30</v>
      </c>
      <c r="B31" s="22" t="s">
        <v>27</v>
      </c>
      <c r="C31" s="128" t="n">
        <v>0.0577</v>
      </c>
      <c r="D31" s="129" t="n">
        <v>0.0695</v>
      </c>
      <c r="E31" s="130" t="n">
        <v>0.066</v>
      </c>
      <c r="F31" s="130" t="n">
        <v>0.0577</v>
      </c>
      <c r="G31" s="131" t="n">
        <v>0.058</v>
      </c>
      <c r="H31" s="128" t="n">
        <v>0.0272</v>
      </c>
      <c r="I31" s="128" t="n">
        <v>0.0335</v>
      </c>
      <c r="J31" s="128" t="n">
        <v>0.0235</v>
      </c>
      <c r="K31" s="128" t="n">
        <v>0.025</v>
      </c>
      <c r="L31" s="22" t="s">
        <v>50</v>
      </c>
      <c r="M31" s="128" t="n">
        <v>0.0327</v>
      </c>
    </row>
    <row r="32" customFormat="false" ht="15" hidden="false" customHeight="false" outlineLevel="0" collapsed="false">
      <c r="A32" s="22" t="s">
        <v>32</v>
      </c>
      <c r="B32" s="22" t="s">
        <v>27</v>
      </c>
      <c r="C32" s="128" t="n">
        <v>1.1107</v>
      </c>
      <c r="D32" s="129" t="n">
        <v>0.9666</v>
      </c>
      <c r="E32" s="130" t="n">
        <v>0.917</v>
      </c>
      <c r="F32" s="130" t="n">
        <v>0.857</v>
      </c>
      <c r="G32" s="131" t="n">
        <v>0.7111</v>
      </c>
      <c r="H32" s="128" t="n">
        <v>1.7951</v>
      </c>
      <c r="I32" s="128" t="n">
        <v>1.2042</v>
      </c>
      <c r="J32" s="128" t="n">
        <v>1.5039</v>
      </c>
      <c r="K32" s="128" t="n">
        <v>1.5952</v>
      </c>
      <c r="L32" s="22" t="s">
        <v>50</v>
      </c>
      <c r="M32" s="128" t="n">
        <v>1.1685</v>
      </c>
    </row>
    <row r="33" customFormat="false" ht="15" hidden="false" customHeight="false" outlineLevel="0" collapsed="false">
      <c r="A33" s="152" t="s">
        <v>34</v>
      </c>
      <c r="B33" s="153"/>
      <c r="C33" s="153"/>
      <c r="D33" s="154"/>
      <c r="E33" s="155"/>
      <c r="F33" s="155"/>
      <c r="G33" s="156"/>
      <c r="H33" s="153"/>
      <c r="I33" s="153"/>
      <c r="J33" s="153"/>
      <c r="K33" s="153"/>
      <c r="L33" s="153"/>
      <c r="M33" s="153"/>
    </row>
    <row r="34" customFormat="false" ht="15" hidden="false" customHeight="false" outlineLevel="0" collapsed="false">
      <c r="A34" s="22" t="s">
        <v>43</v>
      </c>
      <c r="B34" s="22" t="s">
        <v>27</v>
      </c>
      <c r="C34" s="128" t="n">
        <v>0.1355</v>
      </c>
      <c r="D34" s="129" t="n">
        <v>0.1362</v>
      </c>
      <c r="E34" s="130" t="n">
        <v>0.1498</v>
      </c>
      <c r="F34" s="130" t="n">
        <v>0.145</v>
      </c>
      <c r="G34" s="131" t="n">
        <v>0.1441</v>
      </c>
      <c r="H34" s="128" t="n">
        <v>0.1503</v>
      </c>
      <c r="I34" s="128" t="n">
        <v>0.1474</v>
      </c>
      <c r="J34" s="128" t="n">
        <v>0.1216</v>
      </c>
      <c r="K34" s="128" t="n">
        <v>0.1409</v>
      </c>
      <c r="L34" s="22" t="s">
        <v>65</v>
      </c>
      <c r="M34" s="128" t="n">
        <v>0.1392</v>
      </c>
    </row>
    <row r="35" customFormat="false" ht="15" hidden="false" customHeight="false" outlineLevel="0" collapsed="false">
      <c r="A35" s="22" t="s">
        <v>44</v>
      </c>
      <c r="B35" s="22" t="s">
        <v>27</v>
      </c>
      <c r="C35" s="128" t="n">
        <v>0.5379</v>
      </c>
      <c r="D35" s="129" t="n">
        <v>0.4759</v>
      </c>
      <c r="E35" s="130" t="n">
        <v>0.5305</v>
      </c>
      <c r="F35" s="130" t="n">
        <v>0.5154</v>
      </c>
      <c r="G35" s="131" t="n">
        <v>0.5579</v>
      </c>
      <c r="H35" s="128" t="n">
        <v>0.458</v>
      </c>
      <c r="I35" s="128" t="n">
        <v>0.4376</v>
      </c>
      <c r="J35" s="128" t="n">
        <v>0.4563</v>
      </c>
      <c r="K35" s="128" t="n">
        <v>0.452</v>
      </c>
      <c r="L35" s="22" t="s">
        <v>50</v>
      </c>
      <c r="M35" s="128" t="n">
        <v>0.4833</v>
      </c>
    </row>
    <row r="36" customFormat="false" ht="15" hidden="false" customHeight="false" outlineLevel="0" collapsed="false">
      <c r="A36" s="152" t="s">
        <v>52</v>
      </c>
      <c r="B36" s="153"/>
      <c r="C36" s="153"/>
      <c r="D36" s="154"/>
      <c r="E36" s="155"/>
      <c r="F36" s="155"/>
      <c r="G36" s="156"/>
      <c r="H36" s="153"/>
      <c r="I36" s="153"/>
      <c r="J36" s="153"/>
      <c r="K36" s="153"/>
      <c r="L36" s="153"/>
      <c r="M36" s="153"/>
    </row>
    <row r="37" customFormat="false" ht="15" hidden="false" customHeight="false" outlineLevel="0" collapsed="false">
      <c r="A37" s="22" t="s">
        <v>58</v>
      </c>
      <c r="B37" s="22" t="s">
        <v>15</v>
      </c>
      <c r="C37" s="124" t="n">
        <v>18412.76</v>
      </c>
      <c r="D37" s="125" t="n">
        <v>20904.21</v>
      </c>
      <c r="E37" s="126" t="n">
        <v>17227.52</v>
      </c>
      <c r="F37" s="126" t="n">
        <v>14646.3</v>
      </c>
      <c r="G37" s="127" t="n">
        <v>13108.7</v>
      </c>
      <c r="H37" s="124" t="n">
        <v>6227.3</v>
      </c>
      <c r="I37" s="124" t="n">
        <v>7773.7</v>
      </c>
      <c r="J37" s="124" t="n">
        <v>4918.7</v>
      </c>
      <c r="K37" s="124" t="n">
        <v>4600.7</v>
      </c>
      <c r="L37" s="124" t="s">
        <v>50</v>
      </c>
      <c r="M37" s="124" t="n">
        <v>4258.4</v>
      </c>
    </row>
    <row r="38" customFormat="false" ht="15" hidden="false" customHeight="false" outlineLevel="0" collapsed="false">
      <c r="A38" s="22" t="s">
        <v>38</v>
      </c>
      <c r="B38" s="22" t="s">
        <v>27</v>
      </c>
      <c r="C38" s="128" t="n">
        <v>0.0364</v>
      </c>
      <c r="D38" s="129" t="n">
        <v>0.0457</v>
      </c>
      <c r="E38" s="130" t="n">
        <v>0.047</v>
      </c>
      <c r="F38" s="130" t="n">
        <v>0.0414</v>
      </c>
      <c r="G38" s="131" t="n">
        <v>0.0428</v>
      </c>
      <c r="H38" s="128" t="n">
        <v>0.0185</v>
      </c>
      <c r="I38" s="128" t="n">
        <v>0.0232</v>
      </c>
      <c r="J38" s="128" t="n">
        <v>0.0174</v>
      </c>
      <c r="K38" s="128" t="n">
        <v>0.0182</v>
      </c>
      <c r="L38" s="22" t="s">
        <v>50</v>
      </c>
      <c r="M38" s="128" t="n">
        <v>0.0225</v>
      </c>
    </row>
    <row r="39" customFormat="false" ht="15" hidden="false" customHeight="false" outlineLevel="0" collapsed="false">
      <c r="A39" s="22" t="s">
        <v>39</v>
      </c>
      <c r="B39" s="22" t="s">
        <v>27</v>
      </c>
      <c r="C39" s="128" t="n">
        <v>0.0714</v>
      </c>
      <c r="D39" s="129" t="n">
        <v>0.1073</v>
      </c>
      <c r="E39" s="130" t="n">
        <v>0.2073</v>
      </c>
      <c r="F39" s="130" t="n">
        <v>-0.2032</v>
      </c>
      <c r="G39" s="92" t="s">
        <v>66</v>
      </c>
      <c r="H39" s="128" t="n">
        <v>0.024</v>
      </c>
      <c r="I39" s="128" t="n">
        <v>0.301</v>
      </c>
      <c r="J39" s="128" t="n">
        <v>0.281</v>
      </c>
      <c r="K39" s="22" t="s">
        <v>50</v>
      </c>
      <c r="L39" s="128" t="n">
        <v>0.0713</v>
      </c>
      <c r="M39" s="128" t="n">
        <v>0.054</v>
      </c>
    </row>
    <row r="40" customFormat="false" ht="15" hidden="false" customHeight="false" outlineLevel="0" collapsed="false">
      <c r="A40" s="22" t="s">
        <v>48</v>
      </c>
      <c r="B40" s="22" t="s">
        <v>27</v>
      </c>
      <c r="C40" s="128" t="n">
        <v>0.192</v>
      </c>
      <c r="D40" s="129" t="n">
        <v>0.058</v>
      </c>
      <c r="E40" s="130" t="n">
        <v>0.1301</v>
      </c>
      <c r="F40" s="130" t="n">
        <v>0.0853</v>
      </c>
      <c r="G40" s="92" t="s">
        <v>66</v>
      </c>
      <c r="H40" s="128" t="n">
        <v>0.133</v>
      </c>
      <c r="I40" s="128" t="n">
        <v>0.113</v>
      </c>
      <c r="J40" s="22" t="s">
        <v>50</v>
      </c>
      <c r="K40" s="22" t="s">
        <v>50</v>
      </c>
      <c r="L40" s="22" t="s">
        <v>50</v>
      </c>
      <c r="M40" s="22" t="s">
        <v>50</v>
      </c>
    </row>
    <row r="45" customFormat="false" ht="15" hidden="false" customHeight="false" outlineLevel="0" collapsed="false">
      <c r="B45" s="132"/>
      <c r="C45" s="132"/>
      <c r="D45" s="132"/>
      <c r="E45" s="132"/>
      <c r="F45" s="132"/>
      <c r="G45" s="132"/>
    </row>
    <row r="47" customFormat="false" ht="15" hidden="false" customHeight="false" outlineLevel="0" collapsed="false"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M47" s="145"/>
    </row>
    <row r="48" customFormat="false" ht="15" hidden="false" customHeight="false" outlineLevel="0" collapsed="false"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M48" s="145"/>
    </row>
    <row r="49" customFormat="false" ht="15" hidden="false" customHeight="false" outlineLevel="0" collapsed="false"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M49" s="145"/>
    </row>
    <row r="50" customFormat="false" ht="15" hidden="false" customHeight="false" outlineLevel="0" collapsed="false"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M50" s="145"/>
    </row>
    <row r="52" customFormat="false" ht="15" hidden="false" customHeight="false" outlineLevel="0" collapsed="false"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M52" s="145"/>
    </row>
    <row r="53" customFormat="false" ht="15" hidden="false" customHeight="false" outlineLevel="0" collapsed="false"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M53" s="145"/>
    </row>
    <row r="54" customFormat="false" ht="15" hidden="false" customHeight="false" outlineLevel="0" collapsed="false"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</row>
    <row r="57" customFormat="false" ht="15" hidden="false" customHeight="false" outlineLevel="0" collapsed="false">
      <c r="C57" s="96"/>
      <c r="D57" s="96"/>
      <c r="E57" s="96"/>
      <c r="F57" s="96"/>
      <c r="G57" s="96"/>
      <c r="H57" s="96"/>
      <c r="I57" s="96"/>
      <c r="J57" s="96"/>
      <c r="K57" s="96"/>
      <c r="M57" s="96"/>
    </row>
    <row r="58" customFormat="false" ht="15" hidden="false" customHeight="false" outlineLevel="0" collapsed="false"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</row>
    <row r="60" customFormat="false" ht="15" hidden="false" customHeight="false" outlineLevel="0" collapsed="false">
      <c r="C60" s="96"/>
      <c r="D60" s="96"/>
      <c r="E60" s="96"/>
      <c r="F60" s="96"/>
      <c r="G60" s="96"/>
      <c r="H60" s="96"/>
      <c r="I60" s="96"/>
      <c r="J60" s="96"/>
      <c r="K60" s="96"/>
      <c r="M60" s="96"/>
    </row>
    <row r="61" customFormat="false" ht="15" hidden="false" customHeight="false" outlineLevel="0" collapsed="false">
      <c r="C61" s="96"/>
      <c r="D61" s="96"/>
      <c r="E61" s="96"/>
      <c r="F61" s="96"/>
      <c r="G61" s="96"/>
      <c r="H61" s="96"/>
      <c r="I61" s="96"/>
      <c r="J61" s="96"/>
      <c r="K61" s="96"/>
      <c r="M61" s="96"/>
    </row>
    <row r="62" customFormat="false" ht="15" hidden="false" customHeight="false" outlineLevel="0" collapsed="false">
      <c r="C62" s="96"/>
      <c r="D62" s="96"/>
      <c r="E62" s="96"/>
      <c r="F62" s="96"/>
      <c r="G62" s="96"/>
      <c r="H62" s="96"/>
      <c r="I62" s="96"/>
      <c r="J62" s="96"/>
      <c r="K62" s="96"/>
      <c r="M62" s="96"/>
    </row>
    <row r="64" customFormat="false" ht="15" hidden="false" customHeight="false" outlineLevel="0" collapsed="false">
      <c r="C64" s="96"/>
      <c r="D64" s="96"/>
      <c r="E64" s="96"/>
      <c r="F64" s="96"/>
      <c r="G64" s="96"/>
      <c r="H64" s="96"/>
      <c r="I64" s="96"/>
      <c r="J64" s="96"/>
      <c r="K64" s="96"/>
      <c r="M64" s="96"/>
    </row>
    <row r="65" customFormat="false" ht="15" hidden="false" customHeight="false" outlineLevel="0" collapsed="false">
      <c r="C65" s="96"/>
      <c r="D65" s="96"/>
      <c r="E65" s="96"/>
      <c r="F65" s="96"/>
      <c r="G65" s="96"/>
      <c r="H65" s="96"/>
      <c r="I65" s="96"/>
      <c r="J65" s="96"/>
      <c r="K65" s="96"/>
      <c r="M65" s="96"/>
    </row>
    <row r="67" customFormat="false" ht="15" hidden="false" customHeight="false" outlineLevel="0" collapsed="false"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M67" s="133"/>
    </row>
    <row r="68" customFormat="false" ht="15" hidden="false" customHeight="false" outlineLevel="0" collapsed="false">
      <c r="C68" s="96"/>
      <c r="D68" s="96"/>
      <c r="E68" s="96"/>
      <c r="F68" s="96"/>
      <c r="G68" s="96"/>
      <c r="H68" s="96"/>
      <c r="I68" s="96"/>
      <c r="J68" s="96"/>
      <c r="K68" s="96"/>
      <c r="M68" s="96"/>
    </row>
    <row r="69" customFormat="false" ht="15" hidden="false" customHeight="false" outlineLevel="0" collapsed="false">
      <c r="C69" s="96"/>
      <c r="D69" s="96"/>
      <c r="E69" s="96"/>
      <c r="F69" s="96"/>
      <c r="H69" s="96"/>
      <c r="I69" s="96"/>
      <c r="J69" s="96"/>
      <c r="L69" s="96"/>
      <c r="M69" s="96"/>
    </row>
    <row r="70" customFormat="false" ht="15" hidden="false" customHeight="false" outlineLevel="0" collapsed="false">
      <c r="C70" s="96"/>
      <c r="D70" s="96"/>
      <c r="E70" s="96"/>
      <c r="F70" s="96"/>
      <c r="H70" s="96"/>
      <c r="I70" s="96"/>
    </row>
  </sheetData>
  <mergeCells count="12">
    <mergeCell ref="A3:A13"/>
    <mergeCell ref="B3:E3"/>
    <mergeCell ref="B4:H4"/>
    <mergeCell ref="B5:G5"/>
    <mergeCell ref="B6:G6"/>
    <mergeCell ref="B7:G7"/>
    <mergeCell ref="B8:G8"/>
    <mergeCell ref="B9:G9"/>
    <mergeCell ref="B10:G10"/>
    <mergeCell ref="B11:G11"/>
    <mergeCell ref="B12:G12"/>
    <mergeCell ref="B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9"/>
  </cols>
  <sheetData>
    <row r="2" customFormat="false" ht="18.55" hidden="false" customHeight="false" outlineLevel="0" collapsed="false">
      <c r="B2" s="75" t="s">
        <v>67</v>
      </c>
      <c r="C2" s="75"/>
      <c r="D2" s="75"/>
      <c r="E2" s="75"/>
      <c r="F2" s="75"/>
    </row>
    <row r="3" customFormat="false" ht="16.15" hidden="false" customHeight="false" outlineLevel="0" collapsed="false">
      <c r="A3" s="158"/>
      <c r="B3" s="159" t="s">
        <v>1</v>
      </c>
      <c r="C3" s="159"/>
      <c r="D3" s="159"/>
      <c r="E3" s="159"/>
      <c r="F3" s="159"/>
      <c r="G3" s="159"/>
      <c r="H3" s="159"/>
    </row>
    <row r="4" customFormat="false" ht="15" hidden="false" customHeight="false" outlineLevel="0" collapsed="false">
      <c r="A4" s="158"/>
      <c r="B4" s="5" t="s">
        <v>2</v>
      </c>
      <c r="C4" s="5"/>
      <c r="D4" s="5"/>
      <c r="E4" s="5"/>
      <c r="F4" s="5"/>
      <c r="G4" s="5"/>
      <c r="H4" s="6" t="n">
        <f aca="false">AVERAGE(C27:M27)</f>
        <v>11.2781818181818</v>
      </c>
    </row>
    <row r="5" customFormat="false" ht="15" hidden="false" customHeight="false" outlineLevel="0" collapsed="false">
      <c r="A5" s="158"/>
      <c r="B5" s="5" t="s">
        <v>3</v>
      </c>
      <c r="C5" s="5"/>
      <c r="D5" s="5"/>
      <c r="E5" s="5"/>
      <c r="F5" s="5"/>
      <c r="G5" s="5"/>
      <c r="H5" s="6" t="n">
        <f aca="false">STDEV(C27:M27)</f>
        <v>5.56953107214929</v>
      </c>
    </row>
    <row r="6" customFormat="false" ht="15" hidden="false" customHeight="false" outlineLevel="0" collapsed="false">
      <c r="A6" s="158"/>
      <c r="B6" s="5" t="s">
        <v>4</v>
      </c>
      <c r="C6" s="5"/>
      <c r="D6" s="5"/>
      <c r="E6" s="5"/>
      <c r="F6" s="5"/>
      <c r="G6" s="5"/>
      <c r="H6" s="6" t="n">
        <f aca="false">(H4-3)/H5</f>
        <v>1.4863337165991</v>
      </c>
    </row>
    <row r="7" customFormat="false" ht="15" hidden="false" customHeight="false" outlineLevel="0" collapsed="false">
      <c r="A7" s="158"/>
      <c r="B7" s="5" t="s">
        <v>5</v>
      </c>
      <c r="C7" s="5"/>
      <c r="D7" s="5"/>
      <c r="E7" s="5"/>
      <c r="F7" s="5"/>
      <c r="G7" s="5"/>
      <c r="H7" s="6" t="n">
        <f aca="false">AVERAGE(D27:I27)</f>
        <v>12.155</v>
      </c>
    </row>
    <row r="8" customFormat="false" ht="15" hidden="false" customHeight="false" outlineLevel="0" collapsed="false">
      <c r="A8" s="158"/>
      <c r="B8" s="5" t="s">
        <v>6</v>
      </c>
      <c r="C8" s="5"/>
      <c r="D8" s="5"/>
      <c r="E8" s="5"/>
      <c r="F8" s="5"/>
      <c r="G8" s="5"/>
      <c r="H8" s="6" t="n">
        <f aca="false">STDEV(D27:I27)</f>
        <v>5.48839047444695</v>
      </c>
    </row>
    <row r="9" customFormat="false" ht="15" hidden="false" customHeight="false" outlineLevel="0" collapsed="false">
      <c r="A9" s="158"/>
      <c r="B9" s="5" t="s">
        <v>7</v>
      </c>
      <c r="C9" s="5"/>
      <c r="D9" s="5"/>
      <c r="E9" s="5"/>
      <c r="F9" s="5"/>
      <c r="G9" s="5"/>
      <c r="H9" s="6" t="n">
        <f aca="false">(H7-3)/H8</f>
        <v>1.66806644728071</v>
      </c>
    </row>
    <row r="10" customFormat="false" ht="15" hidden="false" customHeight="false" outlineLevel="0" collapsed="false">
      <c r="A10" s="158"/>
      <c r="B10" s="5" t="s">
        <v>8</v>
      </c>
      <c r="C10" s="5"/>
      <c r="D10" s="5"/>
      <c r="E10" s="5"/>
      <c r="F10" s="5"/>
      <c r="G10" s="5"/>
      <c r="H10" s="7" t="n">
        <f aca="false">(C19/M19)^(1/10)-1</f>
        <v>0.0579402009430652</v>
      </c>
    </row>
    <row r="11" customFormat="false" ht="15" hidden="false" customHeight="false" outlineLevel="0" collapsed="false">
      <c r="A11" s="158"/>
      <c r="B11" s="5" t="s">
        <v>9</v>
      </c>
      <c r="C11" s="5"/>
      <c r="D11" s="5"/>
      <c r="E11" s="5"/>
      <c r="F11" s="5"/>
      <c r="G11" s="5"/>
      <c r="H11" s="8" t="n">
        <v>-43</v>
      </c>
    </row>
    <row r="12" customFormat="false" ht="15" hidden="false" customHeight="false" outlineLevel="0" collapsed="false">
      <c r="A12" s="158"/>
      <c r="B12" s="5" t="s">
        <v>10</v>
      </c>
      <c r="C12" s="5"/>
      <c r="D12" s="5"/>
      <c r="E12" s="5"/>
      <c r="F12" s="5"/>
      <c r="G12" s="5"/>
      <c r="H12" s="9" t="n">
        <f aca="false">SLOPE(C30:M30,C14:M14)</f>
        <v>-0.395</v>
      </c>
    </row>
    <row r="14" customFormat="false" ht="15" hidden="false" customHeight="false" outlineLevel="0" collapsed="false">
      <c r="A14" s="160" t="s">
        <v>11</v>
      </c>
      <c r="B14" s="160" t="s">
        <v>12</v>
      </c>
      <c r="C14" s="161" t="n">
        <v>2025</v>
      </c>
      <c r="D14" s="162" t="n">
        <v>2024</v>
      </c>
      <c r="E14" s="163" t="n">
        <v>2023</v>
      </c>
      <c r="F14" s="163" t="n">
        <v>2022</v>
      </c>
      <c r="G14" s="164" t="n">
        <v>2021</v>
      </c>
      <c r="H14" s="161" t="n">
        <v>2020</v>
      </c>
      <c r="I14" s="161" t="n">
        <v>2019</v>
      </c>
      <c r="J14" s="161" t="n">
        <v>2018</v>
      </c>
      <c r="K14" s="161" t="n">
        <v>2017</v>
      </c>
      <c r="L14" s="161" t="n">
        <v>2016</v>
      </c>
      <c r="M14" s="161" t="n">
        <v>2015</v>
      </c>
    </row>
    <row r="15" customFormat="false" ht="15" hidden="false" customHeight="false" outlineLevel="0" collapsed="false">
      <c r="A15" s="165" t="s">
        <v>13</v>
      </c>
      <c r="B15" s="166"/>
      <c r="C15" s="166"/>
      <c r="D15" s="167"/>
      <c r="E15" s="168"/>
      <c r="F15" s="168"/>
      <c r="G15" s="169"/>
      <c r="H15" s="166"/>
      <c r="I15" s="166"/>
      <c r="J15" s="166"/>
      <c r="K15" s="166"/>
      <c r="L15" s="170"/>
      <c r="M15" s="166"/>
    </row>
    <row r="16" customFormat="false" ht="15" hidden="false" customHeight="false" outlineLevel="0" collapsed="false">
      <c r="A16" s="22" t="s">
        <v>14</v>
      </c>
      <c r="B16" s="22" t="s">
        <v>15</v>
      </c>
      <c r="C16" s="26" t="n">
        <v>648977</v>
      </c>
      <c r="D16" s="23" t="n">
        <v>548118</v>
      </c>
      <c r="E16" s="63" t="n">
        <v>471285</v>
      </c>
      <c r="F16" s="63" t="n">
        <v>431604</v>
      </c>
      <c r="G16" s="25" t="n">
        <v>388100</v>
      </c>
      <c r="H16" s="26" t="n">
        <v>345724</v>
      </c>
      <c r="I16" s="26" t="n">
        <v>323788</v>
      </c>
      <c r="J16" s="26" t="n">
        <v>295613</v>
      </c>
      <c r="K16" s="26" t="n">
        <v>281467</v>
      </c>
      <c r="L16" s="26" t="n">
        <v>256599</v>
      </c>
      <c r="M16" s="26" t="n">
        <v>252161</v>
      </c>
    </row>
    <row r="17" customFormat="false" ht="15" hidden="false" customHeight="false" outlineLevel="0" collapsed="false">
      <c r="A17" s="22" t="s">
        <v>42</v>
      </c>
      <c r="B17" s="22" t="s">
        <v>15</v>
      </c>
      <c r="C17" s="26" t="n">
        <v>353255</v>
      </c>
      <c r="D17" s="23" t="n">
        <v>343458</v>
      </c>
      <c r="E17" s="63" t="n">
        <v>315293</v>
      </c>
      <c r="F17" s="63" t="n">
        <v>296481</v>
      </c>
      <c r="G17" s="25" t="n">
        <v>263015</v>
      </c>
      <c r="H17" s="26" t="n">
        <v>232400</v>
      </c>
      <c r="I17" s="26" t="n">
        <v>213955</v>
      </c>
      <c r="J17" s="26" t="n">
        <v>205810</v>
      </c>
      <c r="K17" s="26" t="n">
        <v>198323</v>
      </c>
      <c r="L17" s="26" t="n">
        <v>170212</v>
      </c>
      <c r="M17" s="26" t="n">
        <v>151865</v>
      </c>
      <c r="N17" s="171"/>
    </row>
    <row r="18" customFormat="false" ht="15" hidden="false" customHeight="false" outlineLevel="0" collapsed="false">
      <c r="A18" s="22" t="s">
        <v>17</v>
      </c>
      <c r="B18" s="22" t="s">
        <v>15</v>
      </c>
      <c r="C18" s="26" t="n">
        <v>444943</v>
      </c>
      <c r="D18" s="23" t="n">
        <v>358868</v>
      </c>
      <c r="E18" s="63" t="n">
        <v>305269</v>
      </c>
      <c r="F18" s="63" t="n">
        <v>265841</v>
      </c>
      <c r="G18" s="25" t="n">
        <v>243070</v>
      </c>
      <c r="H18" s="26" t="n">
        <v>233028</v>
      </c>
      <c r="I18" s="26" t="n">
        <v>216444</v>
      </c>
      <c r="J18" s="26" t="n">
        <v>197518</v>
      </c>
      <c r="K18" s="26" t="n">
        <v>199014</v>
      </c>
      <c r="L18" s="26" t="n">
        <v>197934</v>
      </c>
      <c r="M18" s="26" t="n">
        <v>194825</v>
      </c>
    </row>
    <row r="19" customFormat="false" ht="15" hidden="false" customHeight="false" outlineLevel="0" collapsed="false">
      <c r="A19" s="22" t="s">
        <v>18</v>
      </c>
      <c r="B19" s="22" t="s">
        <v>15</v>
      </c>
      <c r="C19" s="26" t="n">
        <v>46394</v>
      </c>
      <c r="D19" s="23" t="n">
        <v>39020</v>
      </c>
      <c r="E19" s="63" t="n">
        <v>33614</v>
      </c>
      <c r="F19" s="63" t="n">
        <v>30863</v>
      </c>
      <c r="G19" s="25" t="n">
        <v>28377</v>
      </c>
      <c r="H19" s="26" t="n">
        <v>27254</v>
      </c>
      <c r="I19" s="26" t="n">
        <v>28150</v>
      </c>
      <c r="J19" s="26" t="n">
        <v>27894</v>
      </c>
      <c r="K19" s="26" t="n">
        <v>24901</v>
      </c>
      <c r="L19" s="26" t="n">
        <v>25285</v>
      </c>
      <c r="M19" s="26" t="n">
        <v>26415</v>
      </c>
    </row>
    <row r="20" customFormat="false" ht="15" hidden="false" customHeight="false" outlineLevel="0" collapsed="false">
      <c r="A20" s="165" t="s">
        <v>19</v>
      </c>
      <c r="B20" s="166"/>
      <c r="C20" s="166"/>
      <c r="D20" s="167"/>
      <c r="E20" s="168"/>
      <c r="F20" s="168"/>
      <c r="G20" s="169"/>
      <c r="H20" s="166"/>
      <c r="I20" s="166"/>
      <c r="J20" s="166"/>
      <c r="K20" s="166"/>
      <c r="L20" s="170"/>
      <c r="M20" s="166"/>
    </row>
    <row r="21" customFormat="false" ht="15" hidden="false" customHeight="false" outlineLevel="0" collapsed="false">
      <c r="A21" s="22" t="s">
        <v>20</v>
      </c>
      <c r="B21" s="22" t="s">
        <v>15</v>
      </c>
      <c r="C21" s="26" t="n">
        <v>3766</v>
      </c>
      <c r="D21" s="23" t="n">
        <v>9222</v>
      </c>
      <c r="E21" s="63" t="n">
        <v>9284</v>
      </c>
      <c r="F21" s="63" t="n">
        <v>8363</v>
      </c>
      <c r="G21" s="25" t="n">
        <v>8063</v>
      </c>
      <c r="H21" s="26" t="n">
        <v>5574</v>
      </c>
      <c r="I21" s="26" t="n">
        <v>8273</v>
      </c>
      <c r="J21" s="26" t="n">
        <v>7650</v>
      </c>
      <c r="K21" s="26" t="n">
        <v>4894</v>
      </c>
      <c r="L21" s="26" t="n">
        <v>3313</v>
      </c>
      <c r="M21" s="26" t="n">
        <v>1294</v>
      </c>
    </row>
    <row r="22" customFormat="false" ht="15" hidden="false" customHeight="false" outlineLevel="0" collapsed="false">
      <c r="A22" s="22" t="s">
        <v>21</v>
      </c>
      <c r="B22" s="22" t="s">
        <v>15</v>
      </c>
      <c r="C22" s="26" t="n">
        <v>21770</v>
      </c>
      <c r="D22" s="23" t="n">
        <v>14616</v>
      </c>
      <c r="E22" s="63" t="n">
        <v>8483</v>
      </c>
      <c r="F22" s="63" t="n">
        <v>8139</v>
      </c>
      <c r="G22" s="25" t="n">
        <v>6986</v>
      </c>
      <c r="H22" s="26" t="n">
        <v>7080</v>
      </c>
      <c r="I22" s="26" t="n">
        <v>5858</v>
      </c>
      <c r="J22" s="26" t="n">
        <v>5250</v>
      </c>
      <c r="K22" s="26" t="n">
        <v>7255</v>
      </c>
      <c r="L22" s="26" t="n">
        <v>8710</v>
      </c>
      <c r="M22" s="26" t="n">
        <v>10779</v>
      </c>
    </row>
    <row r="23" customFormat="false" ht="15" hidden="false" customHeight="false" outlineLevel="0" collapsed="false">
      <c r="A23" s="22" t="s">
        <v>22</v>
      </c>
      <c r="B23" s="22" t="s">
        <v>15</v>
      </c>
      <c r="C23" s="26" t="n">
        <v>8904</v>
      </c>
      <c r="D23" s="23" t="n">
        <v>7446</v>
      </c>
      <c r="E23" s="63" t="n">
        <v>4838</v>
      </c>
      <c r="F23" s="63" t="n">
        <v>4022</v>
      </c>
      <c r="G23" s="25" t="n">
        <v>3111</v>
      </c>
      <c r="H23" s="26" t="n">
        <v>1797</v>
      </c>
      <c r="I23" s="26" t="n">
        <v>1662</v>
      </c>
      <c r="J23" s="26" t="n">
        <v>2193</v>
      </c>
      <c r="K23" s="26" t="n">
        <v>1252</v>
      </c>
      <c r="L23" s="26" t="n">
        <v>2195</v>
      </c>
      <c r="M23" s="26" t="n">
        <v>2139</v>
      </c>
    </row>
    <row r="24" customFormat="false" ht="15" hidden="false" customHeight="false" outlineLevel="0" collapsed="false">
      <c r="A24" s="165" t="s">
        <v>23</v>
      </c>
      <c r="B24" s="166"/>
      <c r="C24" s="166"/>
      <c r="D24" s="167"/>
      <c r="E24" s="168"/>
      <c r="F24" s="168"/>
      <c r="G24" s="169"/>
      <c r="H24" s="166"/>
      <c r="I24" s="166"/>
      <c r="J24" s="166"/>
      <c r="K24" s="166"/>
      <c r="L24" s="166"/>
      <c r="M24" s="166"/>
    </row>
    <row r="25" customFormat="false" ht="15" hidden="false" customHeight="false" outlineLevel="0" collapsed="false">
      <c r="A25" s="22" t="s">
        <v>24</v>
      </c>
      <c r="B25" s="22" t="s">
        <v>25</v>
      </c>
      <c r="C25" s="22" t="n">
        <v>7.67</v>
      </c>
      <c r="D25" s="90" t="n">
        <v>6.42</v>
      </c>
      <c r="E25" s="91" t="n">
        <v>4.27</v>
      </c>
      <c r="F25" s="91" t="n">
        <v>3.55</v>
      </c>
      <c r="G25" s="92" t="n">
        <v>2.75</v>
      </c>
      <c r="H25" s="22" t="n">
        <v>1.59</v>
      </c>
      <c r="I25" s="22" t="n">
        <v>1.47</v>
      </c>
      <c r="J25" s="22" t="n">
        <v>1.94</v>
      </c>
      <c r="K25" s="22" t="n">
        <v>1.11</v>
      </c>
      <c r="L25" s="22" t="n">
        <v>2.13</v>
      </c>
      <c r="M25" s="22" t="n">
        <v>2.08</v>
      </c>
    </row>
    <row r="26" customFormat="false" ht="15" hidden="false" customHeight="false" outlineLevel="0" collapsed="false">
      <c r="A26" s="22" t="s">
        <v>26</v>
      </c>
      <c r="B26" s="22" t="s">
        <v>27</v>
      </c>
      <c r="C26" s="22" t="n">
        <v>1.49</v>
      </c>
      <c r="D26" s="90" t="n">
        <v>1.46</v>
      </c>
      <c r="E26" s="91" t="n">
        <v>1.07</v>
      </c>
      <c r="F26" s="91" t="n">
        <v>0.98</v>
      </c>
      <c r="G26" s="92" t="n">
        <v>0.85</v>
      </c>
      <c r="H26" s="22" t="n">
        <v>0.54</v>
      </c>
      <c r="I26" s="22" t="n">
        <v>0.54</v>
      </c>
      <c r="J26" s="22" t="n">
        <v>0.76</v>
      </c>
      <c r="K26" s="22" t="n">
        <v>0.45</v>
      </c>
      <c r="L26" s="22" t="n">
        <v>0.86</v>
      </c>
      <c r="M26" s="22" t="n">
        <v>0.84</v>
      </c>
    </row>
    <row r="27" customFormat="false" ht="15" hidden="false" customHeight="false" outlineLevel="0" collapsed="false">
      <c r="A27" s="22" t="s">
        <v>28</v>
      </c>
      <c r="B27" s="22" t="s">
        <v>27</v>
      </c>
      <c r="C27" s="22" t="n">
        <v>20.85</v>
      </c>
      <c r="D27" s="90" t="n">
        <v>20.56</v>
      </c>
      <c r="E27" s="91" t="n">
        <v>15.01</v>
      </c>
      <c r="F27" s="91" t="n">
        <v>13.58</v>
      </c>
      <c r="G27" s="92" t="n">
        <v>11.18</v>
      </c>
      <c r="H27" s="22" t="n">
        <v>6.67</v>
      </c>
      <c r="I27" s="22" t="n">
        <v>5.93</v>
      </c>
      <c r="J27" s="22" t="n">
        <v>8.31</v>
      </c>
      <c r="K27" s="22" t="n">
        <v>5.07</v>
      </c>
      <c r="L27" s="22" t="n">
        <v>8.49</v>
      </c>
      <c r="M27" s="22" t="n">
        <v>8.41</v>
      </c>
    </row>
    <row r="28" customFormat="false" ht="15" hidden="false" customHeight="false" outlineLevel="0" collapsed="false">
      <c r="A28" s="165" t="s">
        <v>29</v>
      </c>
      <c r="B28" s="166"/>
      <c r="C28" s="166"/>
      <c r="D28" s="167"/>
      <c r="E28" s="168"/>
      <c r="F28" s="168"/>
      <c r="G28" s="169"/>
      <c r="H28" s="166"/>
      <c r="I28" s="166"/>
      <c r="J28" s="166"/>
      <c r="K28" s="166"/>
      <c r="L28" s="166"/>
      <c r="M28" s="166"/>
    </row>
    <row r="29" customFormat="false" ht="15" hidden="false" customHeight="false" outlineLevel="0" collapsed="false">
      <c r="A29" s="22" t="s">
        <v>33</v>
      </c>
      <c r="B29" s="22" t="s">
        <v>27</v>
      </c>
      <c r="C29" s="22" t="n">
        <v>68.28</v>
      </c>
      <c r="D29" s="90" t="n">
        <v>78.1</v>
      </c>
      <c r="E29" s="91" t="n">
        <v>79.35</v>
      </c>
      <c r="F29" s="91" t="n">
        <v>85.3</v>
      </c>
      <c r="G29" s="92" t="n">
        <v>83.99</v>
      </c>
      <c r="H29" s="22" t="n">
        <v>79.5</v>
      </c>
      <c r="I29" s="22" t="n">
        <v>80.11</v>
      </c>
      <c r="J29" s="22" t="n">
        <v>82.65</v>
      </c>
      <c r="K29" s="22" t="n">
        <v>84.43</v>
      </c>
      <c r="L29" s="22" t="n">
        <v>85.99</v>
      </c>
      <c r="M29" s="22" t="n">
        <v>77.95</v>
      </c>
    </row>
    <row r="30" customFormat="false" ht="15" hidden="false" customHeight="false" outlineLevel="0" collapsed="false">
      <c r="A30" s="22" t="s">
        <v>30</v>
      </c>
      <c r="B30" s="22" t="s">
        <v>27</v>
      </c>
      <c r="C30" s="22" t="n">
        <v>2.73</v>
      </c>
      <c r="D30" s="90" t="n">
        <v>4.22</v>
      </c>
      <c r="E30" s="91" t="n">
        <v>3.54</v>
      </c>
      <c r="F30" s="91" t="n">
        <v>3.42</v>
      </c>
      <c r="G30" s="92" t="n">
        <v>4.83</v>
      </c>
      <c r="H30" s="22" t="n">
        <v>3.46</v>
      </c>
      <c r="I30" s="22" t="n">
        <v>4.66</v>
      </c>
      <c r="J30" s="22" t="n">
        <v>6.16</v>
      </c>
      <c r="K30" s="22" t="n">
        <v>5.45</v>
      </c>
      <c r="L30" s="22" t="n">
        <v>5.96</v>
      </c>
      <c r="M30" s="22" t="n">
        <v>7.82</v>
      </c>
    </row>
    <row r="31" customFormat="false" ht="15" hidden="false" customHeight="false" outlineLevel="0" collapsed="false">
      <c r="A31" s="22" t="s">
        <v>32</v>
      </c>
      <c r="B31" s="22" t="s">
        <v>27</v>
      </c>
      <c r="C31" s="22" t="n">
        <v>151</v>
      </c>
      <c r="D31" s="90" t="n">
        <v>119</v>
      </c>
      <c r="E31" s="91" t="n">
        <v>150</v>
      </c>
      <c r="F31" s="91" t="n">
        <v>140</v>
      </c>
      <c r="G31" s="92" t="n">
        <v>109</v>
      </c>
      <c r="H31" s="22" t="n">
        <v>151</v>
      </c>
      <c r="I31" s="22" t="n">
        <v>103</v>
      </c>
      <c r="J31" s="22" t="n">
        <v>65</v>
      </c>
      <c r="K31" s="22" t="n">
        <v>83</v>
      </c>
      <c r="L31" s="22" t="n">
        <v>33.53</v>
      </c>
      <c r="M31" s="22" t="n">
        <v>44.83</v>
      </c>
    </row>
    <row r="32" customFormat="false" ht="15" hidden="false" customHeight="false" outlineLevel="0" collapsed="false">
      <c r="A32" s="165" t="s">
        <v>34</v>
      </c>
      <c r="B32" s="166"/>
      <c r="C32" s="166"/>
      <c r="D32" s="167"/>
      <c r="E32" s="168"/>
      <c r="F32" s="168"/>
      <c r="G32" s="169"/>
      <c r="H32" s="166"/>
      <c r="I32" s="166"/>
      <c r="J32" s="166"/>
      <c r="K32" s="166"/>
      <c r="L32" s="166"/>
      <c r="M32" s="166"/>
    </row>
    <row r="33" customFormat="false" ht="15" hidden="false" customHeight="false" outlineLevel="0" collapsed="false">
      <c r="A33" s="22" t="s">
        <v>43</v>
      </c>
      <c r="B33" s="22" t="s">
        <v>27</v>
      </c>
      <c r="C33" s="22" t="n">
        <v>18.07</v>
      </c>
      <c r="D33" s="90" t="n">
        <v>17.37</v>
      </c>
      <c r="E33" s="91" t="n">
        <v>17.59</v>
      </c>
      <c r="F33" s="91" t="n">
        <v>16.78</v>
      </c>
      <c r="G33" s="92" t="n">
        <v>17.17</v>
      </c>
      <c r="H33" s="22" t="n">
        <v>17.28</v>
      </c>
      <c r="I33" s="22" t="n">
        <v>17.42</v>
      </c>
      <c r="J33" s="22" t="n">
        <v>17.04</v>
      </c>
      <c r="K33" s="22" t="n">
        <v>14.01</v>
      </c>
      <c r="L33" s="22" t="n">
        <v>12.3</v>
      </c>
      <c r="M33" s="22" t="n">
        <v>12.69</v>
      </c>
    </row>
    <row r="34" customFormat="false" ht="15" hidden="false" customHeight="false" outlineLevel="0" collapsed="false">
      <c r="A34" s="22" t="s">
        <v>44</v>
      </c>
      <c r="B34" s="22" t="s">
        <v>27</v>
      </c>
      <c r="C34" s="22" t="n">
        <v>44.23</v>
      </c>
      <c r="D34" s="90" t="n">
        <v>40.15</v>
      </c>
      <c r="E34" s="91" t="n">
        <v>47.12</v>
      </c>
      <c r="F34" s="91" t="n">
        <v>46.99</v>
      </c>
      <c r="G34" s="92" t="n">
        <v>45.24</v>
      </c>
      <c r="H34" s="22" t="n">
        <v>54.88</v>
      </c>
      <c r="I34" s="22" t="n">
        <v>50.82</v>
      </c>
      <c r="J34" s="22" t="n">
        <v>55.66</v>
      </c>
      <c r="K34" s="22" t="n">
        <v>55.98</v>
      </c>
      <c r="L34" s="22" t="n">
        <v>53.75</v>
      </c>
      <c r="M34" s="22" t="n">
        <v>51.71</v>
      </c>
    </row>
    <row r="35" customFormat="false" ht="15" hidden="false" customHeight="false" outlineLevel="0" collapsed="false">
      <c r="A35" s="165" t="s">
        <v>52</v>
      </c>
      <c r="B35" s="166"/>
      <c r="C35" s="166"/>
      <c r="D35" s="167"/>
      <c r="E35" s="168"/>
      <c r="F35" s="168"/>
      <c r="G35" s="169"/>
      <c r="H35" s="166"/>
      <c r="I35" s="166"/>
      <c r="J35" s="166"/>
      <c r="K35" s="166"/>
      <c r="L35" s="170"/>
      <c r="M35" s="166"/>
    </row>
    <row r="36" customFormat="false" ht="15" hidden="false" customHeight="false" outlineLevel="0" collapsed="false">
      <c r="A36" s="22" t="s">
        <v>58</v>
      </c>
      <c r="B36" s="22" t="s">
        <v>15</v>
      </c>
      <c r="C36" s="26" t="n">
        <v>9631</v>
      </c>
      <c r="D36" s="23" t="n">
        <v>14489</v>
      </c>
      <c r="E36" s="63" t="n">
        <v>11168</v>
      </c>
      <c r="F36" s="63" t="n">
        <v>10132</v>
      </c>
      <c r="G36" s="25" t="n">
        <v>12713</v>
      </c>
      <c r="H36" s="26" t="n">
        <v>8034</v>
      </c>
      <c r="I36" s="26" t="n">
        <v>9966</v>
      </c>
      <c r="J36" s="26" t="n">
        <v>12686</v>
      </c>
      <c r="K36" s="26" t="n">
        <v>10799</v>
      </c>
      <c r="L36" s="124" t="n">
        <v>10139.48</v>
      </c>
      <c r="M36" s="124" t="n">
        <v>11882.8</v>
      </c>
    </row>
    <row r="37" customFormat="false" ht="15" hidden="false" customHeight="false" outlineLevel="0" collapsed="false">
      <c r="A37" s="22" t="s">
        <v>38</v>
      </c>
      <c r="B37" s="22" t="s">
        <v>27</v>
      </c>
      <c r="C37" s="22" t="n">
        <v>1.48</v>
      </c>
      <c r="D37" s="90" t="n">
        <v>2.64</v>
      </c>
      <c r="E37" s="91" t="n">
        <v>2.37</v>
      </c>
      <c r="F37" s="91" t="n">
        <v>2.35</v>
      </c>
      <c r="G37" s="92" t="n">
        <v>3.28</v>
      </c>
      <c r="H37" s="22" t="n">
        <v>2.32</v>
      </c>
      <c r="I37" s="22" t="n">
        <v>3.08</v>
      </c>
      <c r="J37" s="22" t="n">
        <v>4.29</v>
      </c>
      <c r="K37" s="22" t="n">
        <v>3.84</v>
      </c>
      <c r="L37" s="22" t="n">
        <v>3.95</v>
      </c>
      <c r="M37" s="22" t="n">
        <v>4.71</v>
      </c>
    </row>
    <row r="38" customFormat="false" ht="15" hidden="false" customHeight="false" outlineLevel="0" collapsed="false">
      <c r="A38" s="22" t="s">
        <v>39</v>
      </c>
      <c r="B38" s="22" t="s">
        <v>27</v>
      </c>
      <c r="C38" s="22" t="n">
        <v>19.58</v>
      </c>
      <c r="D38" s="90" t="n">
        <v>53.9</v>
      </c>
      <c r="E38" s="91" t="n">
        <v>20.29</v>
      </c>
      <c r="F38" s="91" t="n">
        <v>29.28</v>
      </c>
      <c r="G38" s="92" t="n">
        <v>73.12</v>
      </c>
      <c r="H38" s="22" t="s">
        <v>68</v>
      </c>
      <c r="I38" s="22" t="n">
        <v>-24.21</v>
      </c>
      <c r="J38" s="22" t="n">
        <v>75.16</v>
      </c>
      <c r="K38" s="22" t="n">
        <v>-11.21</v>
      </c>
      <c r="L38" s="22" t="n">
        <v>2.62</v>
      </c>
      <c r="M38" s="22" t="s">
        <v>50</v>
      </c>
    </row>
    <row r="39" customFormat="false" ht="15" hidden="false" customHeight="false" outlineLevel="0" collapsed="false">
      <c r="A39" s="22" t="s">
        <v>48</v>
      </c>
      <c r="B39" s="22" t="s">
        <v>27</v>
      </c>
      <c r="C39" s="22" t="n">
        <v>18.9</v>
      </c>
      <c r="D39" s="90" t="n">
        <v>16.08</v>
      </c>
      <c r="E39" s="91" t="n">
        <v>8.91</v>
      </c>
      <c r="F39" s="91" t="n">
        <v>8.76</v>
      </c>
      <c r="G39" s="92" t="n">
        <v>4.12</v>
      </c>
      <c r="H39" s="22" t="s">
        <v>68</v>
      </c>
      <c r="I39" s="22" t="n">
        <v>0.92</v>
      </c>
      <c r="J39" s="22" t="n">
        <v>12.02</v>
      </c>
      <c r="K39" s="22" t="n">
        <v>1.64</v>
      </c>
      <c r="L39" s="22" t="n">
        <v>-4.28</v>
      </c>
      <c r="M39" s="22" t="s">
        <v>50</v>
      </c>
    </row>
    <row r="46" customFormat="false" ht="15" hidden="false" customHeight="false" outlineLevel="0" collapsed="false">
      <c r="B46" s="145"/>
      <c r="C46" s="145"/>
      <c r="K46" s="145"/>
    </row>
    <row r="47" customFormat="false" ht="15" hidden="false" customHeight="false" outlineLevel="0" collapsed="false">
      <c r="B47" s="145"/>
      <c r="C47" s="145"/>
      <c r="K47" s="145"/>
      <c r="L47" s="145"/>
    </row>
    <row r="48" customFormat="false" ht="15" hidden="false" customHeight="false" outlineLevel="0" collapsed="false">
      <c r="B48" s="145"/>
      <c r="C48" s="145"/>
      <c r="K48" s="145"/>
      <c r="L48" s="145"/>
    </row>
    <row r="49" customFormat="false" ht="15" hidden="false" customHeight="false" outlineLevel="0" collapsed="false">
      <c r="B49" s="145"/>
      <c r="C49" s="145"/>
      <c r="K49" s="145"/>
      <c r="L49" s="145"/>
    </row>
    <row r="50" customFormat="false" ht="15" hidden="false" customHeight="false" outlineLevel="0" collapsed="false">
      <c r="K50" s="145"/>
      <c r="L50" s="145"/>
    </row>
    <row r="51" customFormat="false" ht="15" hidden="false" customHeight="false" outlineLevel="0" collapsed="false">
      <c r="B51" s="145"/>
      <c r="C51" s="145"/>
      <c r="K51" s="145"/>
    </row>
    <row r="52" customFormat="false" ht="15" hidden="false" customHeight="false" outlineLevel="0" collapsed="false"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</row>
    <row r="53" customFormat="false" ht="15" hidden="false" customHeight="false" outlineLevel="0" collapsed="false"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</row>
    <row r="54" customFormat="false" ht="15" hidden="false" customHeight="false" outlineLevel="0" collapsed="false">
      <c r="K54" s="145"/>
      <c r="L54" s="145"/>
    </row>
    <row r="66" customFormat="false" ht="15" hidden="false" customHeight="false" outlineLevel="0" collapsed="false">
      <c r="B66" s="145"/>
      <c r="C66" s="145"/>
      <c r="D66" s="145"/>
      <c r="E66" s="145"/>
      <c r="F66" s="145"/>
      <c r="G66" s="145"/>
      <c r="H66" s="145"/>
      <c r="I66" s="145"/>
      <c r="J66" s="145"/>
      <c r="K66" s="145"/>
    </row>
    <row r="67" customFormat="false" ht="15" hidden="false" customHeight="false" outlineLevel="0" collapsed="false">
      <c r="K67" s="133"/>
      <c r="L67" s="133"/>
    </row>
  </sheetData>
  <mergeCells count="12">
    <mergeCell ref="B2:F2"/>
    <mergeCell ref="A3:A12"/>
    <mergeCell ref="B3:H3"/>
    <mergeCell ref="B4:G4"/>
    <mergeCell ref="B5:G5"/>
    <mergeCell ref="B6:G6"/>
    <mergeCell ref="B7:G7"/>
    <mergeCell ref="B8:G8"/>
    <mergeCell ref="B9:G9"/>
    <mergeCell ref="B10:G10"/>
    <mergeCell ref="B11:G11"/>
    <mergeCell ref="B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3"/>
  </cols>
  <sheetData>
    <row r="2" customFormat="false" ht="18.55" hidden="false" customHeight="false" outlineLevel="0" collapsed="false">
      <c r="B2" s="75" t="s">
        <v>69</v>
      </c>
      <c r="C2" s="75"/>
      <c r="D2" s="75"/>
      <c r="E2" s="75"/>
      <c r="F2" s="75"/>
    </row>
    <row r="3" customFormat="false" ht="16.15" hidden="false" customHeight="false" outlineLevel="0" collapsed="false">
      <c r="A3" s="43"/>
      <c r="B3" s="172" t="s">
        <v>1</v>
      </c>
      <c r="C3" s="172"/>
      <c r="D3" s="172"/>
      <c r="E3" s="172"/>
      <c r="F3" s="172"/>
      <c r="G3" s="172"/>
      <c r="H3" s="172"/>
    </row>
    <row r="4" customFormat="false" ht="15" hidden="false" customHeight="false" outlineLevel="0" collapsed="false">
      <c r="A4" s="43"/>
      <c r="B4" s="5" t="s">
        <v>2</v>
      </c>
      <c r="C4" s="5"/>
      <c r="D4" s="5"/>
      <c r="E4" s="5"/>
      <c r="F4" s="5"/>
      <c r="G4" s="5"/>
      <c r="H4" s="7" t="n">
        <f aca="false">AVERAGE(C28:M28)</f>
        <v>0.1064</v>
      </c>
    </row>
    <row r="5" customFormat="false" ht="15" hidden="false" customHeight="false" outlineLevel="0" collapsed="false">
      <c r="A5" s="43"/>
      <c r="B5" s="5" t="s">
        <v>3</v>
      </c>
      <c r="C5" s="5"/>
      <c r="D5" s="5"/>
      <c r="E5" s="5"/>
      <c r="F5" s="5"/>
      <c r="G5" s="5"/>
      <c r="H5" s="7" t="n">
        <f aca="false">STDEV(C28:M28)</f>
        <v>0.0474284092079842</v>
      </c>
    </row>
    <row r="6" customFormat="false" ht="15" hidden="false" customHeight="false" outlineLevel="0" collapsed="false">
      <c r="A6" s="43"/>
      <c r="B6" s="5" t="s">
        <v>4</v>
      </c>
      <c r="C6" s="5"/>
      <c r="D6" s="5"/>
      <c r="E6" s="5"/>
      <c r="F6" s="5"/>
      <c r="G6" s="5"/>
      <c r="H6" s="6" t="n">
        <f aca="false">(H4-0.03)/H5</f>
        <v>1.6108488831023</v>
      </c>
    </row>
    <row r="7" customFormat="false" ht="15" hidden="false" customHeight="false" outlineLevel="0" collapsed="false">
      <c r="A7" s="43"/>
      <c r="B7" s="5" t="s">
        <v>5</v>
      </c>
      <c r="C7" s="5"/>
      <c r="D7" s="5"/>
      <c r="E7" s="5"/>
      <c r="F7" s="5"/>
      <c r="G7" s="5"/>
      <c r="H7" s="7" t="n">
        <f aca="false">AVERAGE(D28:I28)</f>
        <v>0.0916166666666667</v>
      </c>
    </row>
    <row r="8" customFormat="false" ht="15" hidden="false" customHeight="false" outlineLevel="0" collapsed="false">
      <c r="A8" s="43"/>
      <c r="B8" s="5" t="s">
        <v>6</v>
      </c>
      <c r="C8" s="5"/>
      <c r="D8" s="5"/>
      <c r="E8" s="5"/>
      <c r="F8" s="5"/>
      <c r="G8" s="5"/>
      <c r="H8" s="7" t="n">
        <f aca="false">STDEV(D28:I28)</f>
        <v>0.0404011592242929</v>
      </c>
    </row>
    <row r="9" customFormat="false" ht="15" hidden="false" customHeight="false" outlineLevel="0" collapsed="false">
      <c r="A9" s="43"/>
      <c r="B9" s="5" t="s">
        <v>7</v>
      </c>
      <c r="C9" s="5"/>
      <c r="D9" s="5"/>
      <c r="E9" s="5"/>
      <c r="F9" s="5"/>
      <c r="G9" s="5"/>
      <c r="H9" s="6" t="n">
        <f aca="false">(H7-0.03)/H8</f>
        <v>1.5251212551747</v>
      </c>
    </row>
    <row r="10" customFormat="false" ht="15" hidden="false" customHeight="false" outlineLevel="0" collapsed="false">
      <c r="A10" s="43"/>
      <c r="B10" s="5" t="s">
        <v>8</v>
      </c>
      <c r="C10" s="5"/>
      <c r="D10" s="5"/>
      <c r="E10" s="5"/>
      <c r="F10" s="5"/>
      <c r="G10" s="5"/>
      <c r="H10" s="7" t="n">
        <f aca="false">(C20/M20)^(1/10)-1</f>
        <v>0.0548634380117949</v>
      </c>
    </row>
    <row r="11" customFormat="false" ht="15" hidden="false" customHeight="false" outlineLevel="0" collapsed="false">
      <c r="A11" s="43"/>
      <c r="B11" s="5" t="s">
        <v>9</v>
      </c>
      <c r="C11" s="5"/>
      <c r="D11" s="5"/>
      <c r="E11" s="5"/>
      <c r="F11" s="5"/>
      <c r="G11" s="5"/>
      <c r="H11" s="8" t="n">
        <v>-81.5</v>
      </c>
    </row>
    <row r="12" customFormat="false" ht="15" hidden="false" customHeight="false" outlineLevel="0" collapsed="false">
      <c r="A12" s="43"/>
      <c r="B12" s="5" t="s">
        <v>10</v>
      </c>
      <c r="C12" s="5"/>
      <c r="D12" s="5"/>
      <c r="E12" s="5"/>
      <c r="F12" s="5"/>
      <c r="G12" s="5"/>
      <c r="H12" s="9" t="n">
        <f aca="false">SLOPE(C31:M31,C15:M15)*100</f>
        <v>1.007</v>
      </c>
    </row>
    <row r="13" customFormat="false" ht="15" hidden="false" customHeight="false" outlineLevel="0" collapsed="false">
      <c r="A13" s="43"/>
    </row>
    <row r="15" customFormat="false" ht="15" hidden="false" customHeight="false" outlineLevel="0" collapsed="false">
      <c r="A15" s="173" t="s">
        <v>11</v>
      </c>
      <c r="B15" s="173" t="s">
        <v>12</v>
      </c>
      <c r="C15" s="174" t="n">
        <v>2025</v>
      </c>
      <c r="D15" s="175" t="n">
        <v>2024</v>
      </c>
      <c r="E15" s="176" t="n">
        <v>2023</v>
      </c>
      <c r="F15" s="176" t="n">
        <v>2022</v>
      </c>
      <c r="G15" s="177" t="n">
        <v>2021</v>
      </c>
      <c r="H15" s="174" t="n">
        <v>2020</v>
      </c>
      <c r="I15" s="174" t="n">
        <v>2019</v>
      </c>
      <c r="J15" s="174" t="n">
        <v>2018</v>
      </c>
      <c r="K15" s="174" t="n">
        <v>2017</v>
      </c>
      <c r="L15" s="174" t="n">
        <v>2016</v>
      </c>
      <c r="M15" s="174" t="n">
        <v>2015</v>
      </c>
    </row>
    <row r="16" customFormat="false" ht="15" hidden="false" customHeight="false" outlineLevel="0" collapsed="false">
      <c r="A16" s="178" t="s">
        <v>70</v>
      </c>
      <c r="B16" s="179"/>
      <c r="C16" s="179"/>
      <c r="D16" s="180"/>
      <c r="E16" s="181"/>
      <c r="F16" s="181"/>
      <c r="G16" s="182"/>
      <c r="H16" s="179"/>
      <c r="I16" s="179"/>
      <c r="J16" s="179"/>
      <c r="K16" s="179"/>
      <c r="L16" s="179"/>
      <c r="M16" s="179"/>
    </row>
    <row r="17" customFormat="false" ht="15" hidden="false" customHeight="false" outlineLevel="0" collapsed="false">
      <c r="A17" s="22" t="s">
        <v>14</v>
      </c>
      <c r="B17" s="22" t="s">
        <v>15</v>
      </c>
      <c r="C17" s="22" t="n">
        <v>477887.53</v>
      </c>
      <c r="D17" s="90" t="n">
        <v>444690.3</v>
      </c>
      <c r="E17" s="91" t="n">
        <v>402173.04</v>
      </c>
      <c r="F17" s="91" t="n">
        <v>382328.47</v>
      </c>
      <c r="G17" s="92" t="n">
        <v>359411.36</v>
      </c>
      <c r="H17" s="22" t="n">
        <v>330785.56</v>
      </c>
      <c r="I17" s="22" t="n">
        <v>316363.47</v>
      </c>
      <c r="J17" s="22" t="n">
        <v>291385.64</v>
      </c>
      <c r="K17" s="22" t="n">
        <v>260169.93</v>
      </c>
      <c r="L17" s="124" t="n">
        <v>204127.47</v>
      </c>
      <c r="M17" s="124" t="n">
        <v>182800.17</v>
      </c>
    </row>
    <row r="18" customFormat="false" ht="15" hidden="false" customHeight="false" outlineLevel="0" collapsed="false">
      <c r="A18" s="22" t="s">
        <v>42</v>
      </c>
      <c r="B18" s="22" t="s">
        <v>15</v>
      </c>
      <c r="C18" s="22" t="n">
        <v>285935.57</v>
      </c>
      <c r="D18" s="90" t="n">
        <v>300025.11</v>
      </c>
      <c r="E18" s="91" t="n">
        <v>284830.98</v>
      </c>
      <c r="F18" s="91" t="n">
        <v>280890.53</v>
      </c>
      <c r="G18" s="92" t="n">
        <v>266766.89</v>
      </c>
      <c r="H18" s="22" t="n">
        <v>248994.39</v>
      </c>
      <c r="I18" s="22" t="n">
        <v>236890.45</v>
      </c>
      <c r="J18" s="22" t="n">
        <v>224230.61</v>
      </c>
      <c r="K18" s="22" t="n">
        <v>199660.72</v>
      </c>
      <c r="L18" s="124" t="n">
        <v>150912.52</v>
      </c>
      <c r="M18" s="124" t="n">
        <v>126338.83</v>
      </c>
    </row>
    <row r="19" customFormat="false" ht="15" hidden="false" customHeight="false" outlineLevel="0" collapsed="false">
      <c r="A19" s="22" t="s">
        <v>17</v>
      </c>
      <c r="B19" s="22" t="s">
        <v>15</v>
      </c>
      <c r="C19" s="22" t="n">
        <v>394682.05</v>
      </c>
      <c r="D19" s="90" t="n">
        <v>355121.12</v>
      </c>
      <c r="E19" s="91" t="n">
        <v>317227.09</v>
      </c>
      <c r="F19" s="91" t="n">
        <v>294060</v>
      </c>
      <c r="G19" s="92" t="n">
        <v>274905.61</v>
      </c>
      <c r="H19" s="22" t="n">
        <v>252817.4</v>
      </c>
      <c r="I19" s="22" t="n">
        <v>262961.05</v>
      </c>
      <c r="J19" s="22" t="n">
        <v>243643.42</v>
      </c>
      <c r="K19" s="22" t="n">
        <v>220516.63</v>
      </c>
      <c r="L19" s="124" t="n">
        <v>165257.45</v>
      </c>
      <c r="M19" s="124" t="n">
        <v>154869.52</v>
      </c>
    </row>
    <row r="20" customFormat="false" ht="15" hidden="false" customHeight="false" outlineLevel="0" collapsed="false">
      <c r="A20" s="22" t="s">
        <v>18</v>
      </c>
      <c r="B20" s="22" t="s">
        <v>15</v>
      </c>
      <c r="C20" s="22" t="n">
        <v>26465.41</v>
      </c>
      <c r="D20" s="90" t="n">
        <v>25810.06</v>
      </c>
      <c r="E20" s="91" t="n">
        <v>25984.47</v>
      </c>
      <c r="F20" s="91" t="n">
        <v>25275.15</v>
      </c>
      <c r="G20" s="92" t="n">
        <v>24403.9</v>
      </c>
      <c r="H20" s="22" t="n">
        <v>22101.78</v>
      </c>
      <c r="I20" s="22" t="n">
        <v>20908.29</v>
      </c>
      <c r="J20" s="22" t="n">
        <v>18683.55</v>
      </c>
      <c r="K20" s="22" t="n">
        <v>17584.02</v>
      </c>
      <c r="L20" s="124" t="n">
        <v>16809.61</v>
      </c>
      <c r="M20" s="124" t="n">
        <v>15513.73</v>
      </c>
    </row>
    <row r="21" customFormat="false" ht="15" hidden="false" customHeight="false" outlineLevel="0" collapsed="false">
      <c r="A21" s="178" t="s">
        <v>71</v>
      </c>
      <c r="B21" s="179"/>
      <c r="C21" s="179"/>
      <c r="D21" s="180"/>
      <c r="E21" s="181"/>
      <c r="F21" s="181"/>
      <c r="G21" s="182"/>
      <c r="H21" s="179"/>
      <c r="I21" s="179"/>
      <c r="J21" s="179"/>
      <c r="K21" s="179"/>
      <c r="L21" s="183"/>
      <c r="M21" s="183"/>
    </row>
    <row r="22" customFormat="false" ht="15" hidden="false" customHeight="false" outlineLevel="0" collapsed="false">
      <c r="A22" s="22" t="s">
        <v>20</v>
      </c>
      <c r="B22" s="22" t="s">
        <v>15</v>
      </c>
      <c r="C22" s="22" t="n">
        <v>9546.99</v>
      </c>
      <c r="D22" s="90" t="n">
        <v>7904.06</v>
      </c>
      <c r="E22" s="91" t="n">
        <v>7413.24</v>
      </c>
      <c r="F22" s="91" t="n">
        <v>8628.54</v>
      </c>
      <c r="G22" s="92" t="n">
        <v>8895.23</v>
      </c>
      <c r="H22" s="22" t="n">
        <v>6616.23</v>
      </c>
      <c r="I22" s="22" t="n">
        <v>8600.64</v>
      </c>
      <c r="J22" s="22" t="n">
        <v>7482.8</v>
      </c>
      <c r="K22" s="22" t="n">
        <v>6203.98</v>
      </c>
      <c r="L22" s="124" t="n">
        <v>3157.72</v>
      </c>
      <c r="M22" s="124" t="n">
        <v>2304.15</v>
      </c>
    </row>
    <row r="23" customFormat="false" ht="15" hidden="false" customHeight="false" outlineLevel="0" collapsed="false">
      <c r="A23" s="22" t="s">
        <v>21</v>
      </c>
      <c r="B23" s="22" t="s">
        <v>15</v>
      </c>
      <c r="C23" s="22" t="n">
        <v>4347.58</v>
      </c>
      <c r="D23" s="90" t="n">
        <v>6202.27</v>
      </c>
      <c r="E23" s="91" t="n">
        <v>6336.05</v>
      </c>
      <c r="F23" s="91" t="n">
        <v>6729.1</v>
      </c>
      <c r="G23" s="92" t="n">
        <v>4482.98</v>
      </c>
      <c r="H23" s="22" t="n">
        <v>3927.34</v>
      </c>
      <c r="I23" s="22" t="n">
        <v>4575.36</v>
      </c>
      <c r="J23" s="22" t="n">
        <v>4357.71</v>
      </c>
      <c r="K23" s="22" t="n">
        <v>5650.33</v>
      </c>
      <c r="L23" s="124" t="n">
        <v>6931.26</v>
      </c>
      <c r="M23" s="124" t="n">
        <v>5639.87</v>
      </c>
    </row>
    <row r="24" customFormat="false" ht="15" hidden="false" customHeight="false" outlineLevel="0" collapsed="false">
      <c r="A24" s="22" t="s">
        <v>22</v>
      </c>
      <c r="B24" s="22" t="s">
        <v>15</v>
      </c>
      <c r="C24" s="22" t="n">
        <v>1199.87</v>
      </c>
      <c r="D24" s="90" t="n">
        <v>631.22</v>
      </c>
      <c r="E24" s="91" t="n">
        <v>2028.61</v>
      </c>
      <c r="F24" s="91" t="n">
        <v>2202.58</v>
      </c>
      <c r="G24" s="92" t="n">
        <v>3418.62</v>
      </c>
      <c r="H24" s="22" t="n">
        <v>2161.32</v>
      </c>
      <c r="I24" s="22" t="n">
        <v>2175.49</v>
      </c>
      <c r="J24" s="22" t="n">
        <v>3000.95</v>
      </c>
      <c r="K24" s="22" t="n">
        <v>3017.73</v>
      </c>
      <c r="L24" s="124" t="n">
        <v>2227.36</v>
      </c>
      <c r="M24" s="124" t="n">
        <v>1393.29</v>
      </c>
    </row>
    <row r="25" customFormat="false" ht="15" hidden="false" customHeight="false" outlineLevel="0" collapsed="false">
      <c r="A25" s="178" t="s">
        <v>23</v>
      </c>
      <c r="B25" s="179"/>
      <c r="C25" s="179"/>
      <c r="D25" s="180"/>
      <c r="E25" s="181"/>
      <c r="F25" s="181"/>
      <c r="G25" s="182"/>
      <c r="H25" s="179"/>
      <c r="I25" s="179"/>
      <c r="J25" s="179"/>
      <c r="K25" s="179"/>
      <c r="L25" s="183"/>
      <c r="M25" s="179"/>
    </row>
    <row r="26" customFormat="false" ht="15" hidden="false" customHeight="false" outlineLevel="0" collapsed="false">
      <c r="A26" s="22" t="s">
        <v>24</v>
      </c>
      <c r="B26" s="22" t="s">
        <v>25</v>
      </c>
      <c r="C26" s="22" t="n">
        <v>1.08</v>
      </c>
      <c r="D26" s="90" t="n">
        <v>0.57</v>
      </c>
      <c r="E26" s="91" t="n">
        <v>1.83</v>
      </c>
      <c r="F26" s="91" t="n">
        <v>1.99</v>
      </c>
      <c r="G26" s="92" t="n">
        <v>3.31</v>
      </c>
      <c r="H26" s="22" t="n">
        <v>2.2</v>
      </c>
      <c r="I26" s="22" t="n">
        <v>2.32</v>
      </c>
      <c r="J26" s="22" t="n">
        <v>3.68</v>
      </c>
      <c r="K26" s="22" t="n">
        <v>3.7</v>
      </c>
      <c r="L26" s="22" t="n">
        <v>3.01</v>
      </c>
      <c r="M26" s="22" t="n">
        <v>1.88</v>
      </c>
    </row>
    <row r="27" customFormat="false" ht="15" hidden="false" customHeight="false" outlineLevel="0" collapsed="false">
      <c r="A27" s="22" t="s">
        <v>26</v>
      </c>
      <c r="B27" s="22" t="s">
        <v>27</v>
      </c>
      <c r="C27" s="128" t="n">
        <v>0.0026</v>
      </c>
      <c r="D27" s="129" t="n">
        <v>0.0015</v>
      </c>
      <c r="E27" s="130" t="n">
        <v>0.0052</v>
      </c>
      <c r="F27" s="130" t="n">
        <v>0.0059</v>
      </c>
      <c r="G27" s="131" t="n">
        <v>0.0099</v>
      </c>
      <c r="H27" s="128" t="n">
        <v>0.0073</v>
      </c>
      <c r="I27" s="128" t="n">
        <v>0.0078</v>
      </c>
      <c r="J27" s="128" t="n">
        <v>0.0109</v>
      </c>
      <c r="K27" s="128" t="n">
        <v>0.013</v>
      </c>
      <c r="L27" s="128" t="n">
        <v>0.0115</v>
      </c>
      <c r="M27" s="128" t="n">
        <v>0.0079</v>
      </c>
    </row>
    <row r="28" customFormat="false" ht="15" hidden="false" customHeight="false" outlineLevel="0" collapsed="false">
      <c r="A28" s="22" t="s">
        <v>28</v>
      </c>
      <c r="B28" s="22" t="s">
        <v>27</v>
      </c>
      <c r="C28" s="128" t="n">
        <v>0.0459</v>
      </c>
      <c r="D28" s="129" t="n">
        <v>0.0244</v>
      </c>
      <c r="E28" s="130" t="n">
        <v>0.0792</v>
      </c>
      <c r="F28" s="130" t="n">
        <v>0.0887</v>
      </c>
      <c r="G28" s="131" t="n">
        <v>0.147</v>
      </c>
      <c r="H28" s="128" t="n">
        <v>0.1005</v>
      </c>
      <c r="I28" s="128" t="n">
        <v>0.1099</v>
      </c>
      <c r="J28" s="128" t="n">
        <v>0.1655</v>
      </c>
      <c r="K28" s="128" t="n">
        <v>0.1755</v>
      </c>
      <c r="L28" s="128" t="n">
        <v>0.1378</v>
      </c>
      <c r="M28" s="128" t="n">
        <v>0.096</v>
      </c>
    </row>
    <row r="29" customFormat="false" ht="15" hidden="false" customHeight="false" outlineLevel="0" collapsed="false">
      <c r="A29" s="178" t="s">
        <v>29</v>
      </c>
      <c r="B29" s="179"/>
      <c r="C29" s="179"/>
      <c r="D29" s="180"/>
      <c r="E29" s="181"/>
      <c r="F29" s="181"/>
      <c r="G29" s="182"/>
      <c r="H29" s="179"/>
      <c r="I29" s="179"/>
      <c r="J29" s="179"/>
      <c r="K29" s="179"/>
      <c r="L29" s="184"/>
      <c r="M29" s="184"/>
    </row>
    <row r="30" customFormat="false" ht="15" hidden="false" customHeight="false" outlineLevel="0" collapsed="false">
      <c r="A30" s="22" t="s">
        <v>33</v>
      </c>
      <c r="B30" s="22" t="s">
        <v>27</v>
      </c>
      <c r="C30" s="128" t="n">
        <v>0.7289</v>
      </c>
      <c r="D30" s="129" t="n">
        <v>0.8253</v>
      </c>
      <c r="E30" s="130" t="n">
        <v>0.8557</v>
      </c>
      <c r="F30" s="130" t="n">
        <v>0.8682</v>
      </c>
      <c r="G30" s="131" t="n">
        <v>0.8598</v>
      </c>
      <c r="H30" s="128" t="n">
        <v>0.843</v>
      </c>
      <c r="I30" s="128" t="n">
        <v>0.841</v>
      </c>
      <c r="J30" s="128" t="n">
        <v>0.863</v>
      </c>
      <c r="K30" s="128" t="n">
        <v>0.8425</v>
      </c>
      <c r="L30" s="128" t="n">
        <v>0.9132</v>
      </c>
      <c r="M30" s="128" t="n">
        <v>0.8158</v>
      </c>
    </row>
    <row r="31" customFormat="false" ht="15" hidden="false" customHeight="false" outlineLevel="0" collapsed="false">
      <c r="A31" s="22" t="s">
        <v>30</v>
      </c>
      <c r="B31" s="22" t="s">
        <v>27</v>
      </c>
      <c r="C31" s="128" t="n">
        <v>0.1519</v>
      </c>
      <c r="D31" s="129" t="n">
        <v>0.1725</v>
      </c>
      <c r="E31" s="130" t="n">
        <v>0.0608</v>
      </c>
      <c r="F31" s="130" t="n">
        <v>0.0709</v>
      </c>
      <c r="G31" s="131" t="n">
        <v>0.0454</v>
      </c>
      <c r="H31" s="128" t="n">
        <v>0.0472</v>
      </c>
      <c r="I31" s="128" t="n">
        <v>0.0486</v>
      </c>
      <c r="J31" s="128" t="n">
        <v>0.0482</v>
      </c>
      <c r="K31" s="128" t="n">
        <v>0.0379</v>
      </c>
      <c r="L31" s="128" t="n">
        <v>0.0513</v>
      </c>
      <c r="M31" s="128" t="n">
        <v>0.0495</v>
      </c>
    </row>
    <row r="32" customFormat="false" ht="15" hidden="false" customHeight="false" outlineLevel="0" collapsed="false">
      <c r="A32" s="22" t="s">
        <v>32</v>
      </c>
      <c r="B32" s="22" t="s">
        <v>27</v>
      </c>
      <c r="C32" s="128" t="n">
        <v>0.1487</v>
      </c>
      <c r="D32" s="129" t="n">
        <v>0.2212</v>
      </c>
      <c r="E32" s="130" t="n">
        <v>0.3696</v>
      </c>
      <c r="F32" s="130" t="n">
        <v>0.4046</v>
      </c>
      <c r="G32" s="131" t="n">
        <v>0.4236</v>
      </c>
      <c r="H32" s="128" t="n">
        <v>0.4155</v>
      </c>
      <c r="I32" s="128" t="n">
        <v>0.393</v>
      </c>
      <c r="J32" s="128" t="n">
        <v>0.441</v>
      </c>
      <c r="K32" s="128" t="n">
        <v>0.5244</v>
      </c>
      <c r="L32" s="128" t="n">
        <v>0.9081</v>
      </c>
      <c r="M32" s="128" t="n">
        <v>1.0007</v>
      </c>
    </row>
    <row r="33" customFormat="false" ht="15" hidden="false" customHeight="false" outlineLevel="0" collapsed="false">
      <c r="A33" s="178" t="s">
        <v>34</v>
      </c>
      <c r="B33" s="179"/>
      <c r="C33" s="179"/>
      <c r="D33" s="180"/>
      <c r="E33" s="181"/>
      <c r="F33" s="181"/>
      <c r="G33" s="182"/>
      <c r="H33" s="179"/>
      <c r="I33" s="179"/>
      <c r="J33" s="179"/>
      <c r="K33" s="179"/>
      <c r="L33" s="184"/>
      <c r="M33" s="184"/>
    </row>
    <row r="34" customFormat="false" ht="15" hidden="false" customHeight="false" outlineLevel="0" collapsed="false">
      <c r="A34" s="22" t="s">
        <v>43</v>
      </c>
      <c r="B34" s="22" t="s">
        <v>27</v>
      </c>
      <c r="C34" s="128" t="n">
        <v>0.1252</v>
      </c>
      <c r="D34" s="129" t="n">
        <v>0.1307</v>
      </c>
      <c r="E34" s="130" t="n">
        <v>0.1479</v>
      </c>
      <c r="F34" s="130" t="n">
        <v>0.1435</v>
      </c>
      <c r="G34" s="131" t="n">
        <v>0.1409</v>
      </c>
      <c r="H34" s="128" t="n">
        <v>0.1361</v>
      </c>
      <c r="I34" s="128" t="n">
        <v>0.1392</v>
      </c>
      <c r="J34" s="128" t="n">
        <v>0.1328</v>
      </c>
      <c r="K34" s="128" t="n">
        <v>0.1193</v>
      </c>
      <c r="L34" s="128" t="n">
        <v>0.1303</v>
      </c>
      <c r="M34" s="128" t="n">
        <v>0.1187</v>
      </c>
    </row>
    <row r="35" customFormat="false" ht="15" hidden="false" customHeight="false" outlineLevel="0" collapsed="false">
      <c r="A35" s="22" t="s">
        <v>44</v>
      </c>
      <c r="B35" s="22" t="s">
        <v>27</v>
      </c>
      <c r="C35" s="128" t="n">
        <v>0.5813</v>
      </c>
      <c r="D35" s="129" t="n">
        <v>0.6006</v>
      </c>
      <c r="E35" s="130" t="n">
        <v>0.6065</v>
      </c>
      <c r="F35" s="130" t="n">
        <v>0.5352</v>
      </c>
      <c r="G35" s="131" t="n">
        <v>0.5431</v>
      </c>
      <c r="H35" s="128" t="n">
        <v>0.6256</v>
      </c>
      <c r="I35" s="128" t="n">
        <v>0.4417</v>
      </c>
      <c r="J35" s="128" t="n">
        <v>0.4641</v>
      </c>
      <c r="K35" s="128" t="n">
        <v>0.4457</v>
      </c>
      <c r="L35" s="128" t="n">
        <v>0.5603</v>
      </c>
      <c r="M35" s="128" t="n">
        <v>0.5046</v>
      </c>
    </row>
    <row r="36" customFormat="false" ht="15" hidden="false" customHeight="false" outlineLevel="0" collapsed="false">
      <c r="A36" s="178" t="s">
        <v>52</v>
      </c>
      <c r="B36" s="179"/>
      <c r="C36" s="179"/>
      <c r="D36" s="180"/>
      <c r="E36" s="181"/>
      <c r="F36" s="181"/>
      <c r="G36" s="182"/>
      <c r="H36" s="179"/>
      <c r="I36" s="179"/>
      <c r="J36" s="179"/>
      <c r="K36" s="179"/>
      <c r="L36" s="184"/>
      <c r="M36" s="184"/>
    </row>
    <row r="37" customFormat="false" ht="15" hidden="false" customHeight="false" outlineLevel="0" collapsed="false">
      <c r="A37" s="22" t="s">
        <v>58</v>
      </c>
      <c r="B37" s="22" t="s">
        <v>15</v>
      </c>
      <c r="C37" s="22" t="n">
        <v>43420.65</v>
      </c>
      <c r="D37" s="90" t="n">
        <v>51761.7</v>
      </c>
      <c r="E37" s="91" t="n">
        <v>17313.35</v>
      </c>
      <c r="F37" s="91" t="n">
        <v>19928.63</v>
      </c>
      <c r="G37" s="92" t="n">
        <v>12112.51</v>
      </c>
      <c r="H37" s="22" t="n">
        <v>11751.16</v>
      </c>
      <c r="I37" s="22" t="n">
        <v>11502.61</v>
      </c>
      <c r="J37" s="22" t="n">
        <v>10802.43</v>
      </c>
      <c r="K37" s="22" t="n">
        <v>7564.72</v>
      </c>
      <c r="L37" s="124" t="n">
        <v>7745.88</v>
      </c>
      <c r="M37" s="124" t="n">
        <v>6250.77</v>
      </c>
    </row>
    <row r="38" customFormat="false" ht="15" hidden="false" customHeight="false" outlineLevel="0" collapsed="false">
      <c r="A38" s="22" t="s">
        <v>38</v>
      </c>
      <c r="B38" s="22" t="s">
        <v>27</v>
      </c>
      <c r="C38" s="128" t="n">
        <v>0.0909</v>
      </c>
      <c r="D38" s="129" t="n">
        <v>0.1164</v>
      </c>
      <c r="E38" s="130" t="n">
        <v>0.0431</v>
      </c>
      <c r="F38" s="130" t="n">
        <v>0.0521</v>
      </c>
      <c r="G38" s="131" t="n">
        <v>0.0337</v>
      </c>
      <c r="H38" s="128" t="n">
        <v>0.0355</v>
      </c>
      <c r="I38" s="128" t="n">
        <v>0.0364</v>
      </c>
      <c r="J38" s="128" t="n">
        <v>0.0371</v>
      </c>
      <c r="K38" s="128" t="n">
        <v>0.0291</v>
      </c>
      <c r="L38" s="128" t="n">
        <v>0.0379</v>
      </c>
      <c r="M38" s="128" t="n">
        <v>0.0342</v>
      </c>
    </row>
    <row r="39" customFormat="false" ht="15" hidden="false" customHeight="false" outlineLevel="0" collapsed="false">
      <c r="A39" s="22" t="s">
        <v>39</v>
      </c>
      <c r="B39" s="22" t="s">
        <v>27</v>
      </c>
      <c r="C39" s="128" t="n">
        <v>0.9009</v>
      </c>
      <c r="D39" s="129" t="n">
        <v>-0.6888</v>
      </c>
      <c r="E39" s="130" t="n">
        <v>-0.079</v>
      </c>
      <c r="F39" s="130" t="n">
        <v>-0.3557</v>
      </c>
      <c r="G39" s="131" t="n">
        <v>0.5818</v>
      </c>
      <c r="H39" s="128" t="n">
        <v>-0.0065</v>
      </c>
      <c r="I39" s="128" t="n">
        <v>-0.2751</v>
      </c>
      <c r="J39" s="128" t="n">
        <v>-0.0056</v>
      </c>
      <c r="K39" s="22" t="s">
        <v>50</v>
      </c>
      <c r="L39" s="128" t="n">
        <v>0.5987</v>
      </c>
      <c r="M39" s="128" t="n">
        <v>0.1723</v>
      </c>
    </row>
    <row r="40" customFormat="false" ht="15" hidden="false" customHeight="false" outlineLevel="0" collapsed="false">
      <c r="A40" s="22" t="s">
        <v>48</v>
      </c>
      <c r="B40" s="22" t="s">
        <v>27</v>
      </c>
      <c r="C40" s="128" t="n">
        <v>0.0254</v>
      </c>
      <c r="D40" s="129" t="n">
        <v>-0.0067</v>
      </c>
      <c r="E40" s="130" t="n">
        <v>0.0281</v>
      </c>
      <c r="F40" s="130" t="n">
        <v>0.0357</v>
      </c>
      <c r="G40" s="131" t="n">
        <v>0.1042</v>
      </c>
      <c r="H40" s="128" t="n">
        <v>0.0571</v>
      </c>
      <c r="I40" s="128" t="n">
        <v>0.1191</v>
      </c>
      <c r="J40" s="128" t="n">
        <v>0.0625</v>
      </c>
      <c r="K40" s="22" t="s">
        <v>50</v>
      </c>
      <c r="L40" s="128" t="n">
        <v>0.0835</v>
      </c>
      <c r="M40" s="128" t="n">
        <v>0.1475</v>
      </c>
    </row>
    <row r="49" customFormat="false" ht="15" hidden="false" customHeight="false" outlineLevel="0" collapsed="false">
      <c r="A49" s="132"/>
      <c r="B49" s="132"/>
      <c r="C49" s="132"/>
    </row>
    <row r="51" customFormat="false" ht="15" hidden="false" customHeight="false" outlineLevel="0" collapsed="false">
      <c r="B51" s="133"/>
      <c r="C51" s="133"/>
    </row>
    <row r="52" customFormat="false" ht="15" hidden="false" customHeight="false" outlineLevel="0" collapsed="false">
      <c r="B52" s="133"/>
      <c r="C52" s="133"/>
    </row>
    <row r="53" customFormat="false" ht="15" hidden="false" customHeight="false" outlineLevel="0" collapsed="false">
      <c r="B53" s="133"/>
      <c r="C53" s="133"/>
    </row>
    <row r="54" customFormat="false" ht="15" hidden="false" customHeight="false" outlineLevel="0" collapsed="false">
      <c r="B54" s="133"/>
      <c r="C54" s="133"/>
    </row>
    <row r="55" customFormat="false" ht="15" hidden="false" customHeight="false" outlineLevel="0" collapsed="false">
      <c r="B55" s="133"/>
      <c r="C55" s="133"/>
    </row>
    <row r="56" customFormat="false" ht="15" hidden="false" customHeight="false" outlineLevel="0" collapsed="false">
      <c r="B56" s="133"/>
      <c r="C56" s="133"/>
    </row>
    <row r="57" customFormat="false" ht="15" hidden="false" customHeight="false" outlineLevel="0" collapsed="false">
      <c r="B57" s="133"/>
      <c r="C57" s="133"/>
    </row>
    <row r="58" customFormat="false" ht="15" hidden="false" customHeight="false" outlineLevel="0" collapsed="false">
      <c r="B58" s="133"/>
      <c r="C58" s="133"/>
    </row>
    <row r="59" customFormat="false" ht="15" hidden="false" customHeight="false" outlineLevel="0" collapsed="false">
      <c r="B59" s="133"/>
      <c r="D59" s="96"/>
      <c r="E59" s="96"/>
      <c r="F59" s="96"/>
      <c r="G59" s="96"/>
      <c r="H59" s="96"/>
      <c r="I59" s="96"/>
      <c r="J59" s="96"/>
    </row>
    <row r="60" customFormat="false" ht="15" hidden="false" customHeight="false" outlineLevel="0" collapsed="false">
      <c r="D60" s="96"/>
      <c r="E60" s="96"/>
      <c r="F60" s="96"/>
      <c r="G60" s="96"/>
      <c r="H60" s="96"/>
      <c r="I60" s="96"/>
      <c r="J60" s="96"/>
    </row>
    <row r="61" customFormat="false" ht="15" hidden="false" customHeight="false" outlineLevel="0" collapsed="false">
      <c r="B61" s="96"/>
      <c r="C61" s="96"/>
    </row>
    <row r="62" customFormat="false" ht="15" hidden="false" customHeight="false" outlineLevel="0" collapsed="false">
      <c r="B62" s="96"/>
      <c r="C62" s="96"/>
      <c r="D62" s="96"/>
      <c r="E62" s="96"/>
      <c r="F62" s="96"/>
      <c r="G62" s="96"/>
      <c r="H62" s="96"/>
      <c r="I62" s="96"/>
      <c r="J62" s="96"/>
    </row>
    <row r="63" customFormat="false" ht="15" hidden="false" customHeight="false" outlineLevel="0" collapsed="false">
      <c r="B63" s="96"/>
      <c r="C63" s="96"/>
      <c r="D63" s="96"/>
      <c r="E63" s="96"/>
      <c r="F63" s="96"/>
      <c r="G63" s="96"/>
      <c r="H63" s="96"/>
      <c r="I63" s="96"/>
      <c r="J63" s="96"/>
    </row>
    <row r="64" customFormat="false" ht="15" hidden="false" customHeight="false" outlineLevel="0" collapsed="false">
      <c r="B64" s="96"/>
      <c r="C64" s="96"/>
      <c r="D64" s="96"/>
      <c r="E64" s="96"/>
      <c r="F64" s="96"/>
      <c r="G64" s="96"/>
      <c r="H64" s="96"/>
      <c r="I64" s="96"/>
      <c r="J64" s="96"/>
    </row>
    <row r="65" customFormat="false" ht="15" hidden="false" customHeight="false" outlineLevel="0" collapsed="false">
      <c r="B65" s="96"/>
      <c r="C65" s="96"/>
    </row>
    <row r="66" customFormat="false" ht="15" hidden="false" customHeight="false" outlineLevel="0" collapsed="false">
      <c r="B66" s="96"/>
      <c r="C66" s="96"/>
      <c r="D66" s="96"/>
      <c r="E66" s="96"/>
      <c r="F66" s="96"/>
      <c r="G66" s="96"/>
      <c r="H66" s="96"/>
      <c r="I66" s="96"/>
      <c r="J66" s="96"/>
    </row>
    <row r="67" customFormat="false" ht="15" hidden="false" customHeight="false" outlineLevel="0" collapsed="false">
      <c r="B67" s="96"/>
      <c r="C67" s="96"/>
      <c r="D67" s="96"/>
      <c r="E67" s="96"/>
      <c r="F67" s="96"/>
      <c r="G67" s="96"/>
      <c r="H67" s="96"/>
      <c r="I67" s="96"/>
      <c r="J67" s="96"/>
    </row>
    <row r="68" customFormat="false" ht="15" hidden="false" customHeight="false" outlineLevel="0" collapsed="false">
      <c r="B68" s="96"/>
      <c r="C68" s="96"/>
    </row>
    <row r="69" customFormat="false" ht="15" hidden="false" customHeight="false" outlineLevel="0" collapsed="false">
      <c r="B69" s="96"/>
      <c r="C69" s="96"/>
    </row>
    <row r="70" customFormat="false" ht="15" hidden="false" customHeight="false" outlineLevel="0" collapsed="false">
      <c r="B70" s="96"/>
      <c r="C70" s="96"/>
      <c r="D70" s="96"/>
      <c r="E70" s="96"/>
      <c r="F70" s="96"/>
      <c r="G70" s="96"/>
      <c r="H70" s="96"/>
      <c r="I70" s="96"/>
      <c r="J70" s="96"/>
    </row>
    <row r="71" customFormat="false" ht="15" hidden="false" customHeight="false" outlineLevel="0" collapsed="false">
      <c r="B71" s="133"/>
      <c r="C71" s="133"/>
      <c r="D71" s="96"/>
      <c r="E71" s="96"/>
      <c r="F71" s="96"/>
      <c r="G71" s="96"/>
      <c r="H71" s="96"/>
      <c r="I71" s="96"/>
    </row>
    <row r="72" customFormat="false" ht="15" hidden="false" customHeight="false" outlineLevel="0" collapsed="false">
      <c r="B72" s="96"/>
      <c r="C72" s="96"/>
      <c r="D72" s="96"/>
      <c r="E72" s="96"/>
      <c r="F72" s="96"/>
      <c r="G72" s="96"/>
      <c r="H72" s="96"/>
      <c r="I72" s="96"/>
    </row>
    <row r="73" customFormat="false" ht="15" hidden="false" customHeight="false" outlineLevel="0" collapsed="false">
      <c r="B73" s="96"/>
      <c r="C73" s="96"/>
    </row>
    <row r="74" customFormat="false" ht="15" hidden="false" customHeight="false" outlineLevel="0" collapsed="false">
      <c r="B74" s="96"/>
      <c r="C74" s="96"/>
    </row>
    <row r="75" customFormat="false" ht="15" hidden="false" customHeight="false" outlineLevel="0" collapsed="false">
      <c r="B75" s="96"/>
      <c r="C75" s="96"/>
    </row>
  </sheetData>
  <mergeCells count="12">
    <mergeCell ref="B2:F2"/>
    <mergeCell ref="A3:A13"/>
    <mergeCell ref="B3:H3"/>
    <mergeCell ref="B4:G4"/>
    <mergeCell ref="B5:G5"/>
    <mergeCell ref="B6:G6"/>
    <mergeCell ref="B7:G7"/>
    <mergeCell ref="B8:G8"/>
    <mergeCell ref="B9:G9"/>
    <mergeCell ref="B10:G10"/>
    <mergeCell ref="B11:G11"/>
    <mergeCell ref="B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3"/>
  </cols>
  <sheetData>
    <row r="2" customFormat="false" ht="18.55" hidden="false" customHeight="false" outlineLevel="0" collapsed="false">
      <c r="B2" s="75" t="s">
        <v>72</v>
      </c>
      <c r="C2" s="75"/>
      <c r="D2" s="75"/>
      <c r="E2" s="75"/>
      <c r="F2" s="75"/>
    </row>
    <row r="3" customFormat="false" ht="16.15" hidden="false" customHeight="false" outlineLevel="0" collapsed="false">
      <c r="A3" s="43"/>
      <c r="B3" s="185" t="s">
        <v>1</v>
      </c>
      <c r="C3" s="185"/>
      <c r="D3" s="185"/>
      <c r="E3" s="185"/>
      <c r="F3" s="185"/>
      <c r="G3" s="185"/>
      <c r="H3" s="185"/>
    </row>
    <row r="4" customFormat="false" ht="15" hidden="false" customHeight="false" outlineLevel="0" collapsed="false">
      <c r="A4" s="43"/>
      <c r="B4" s="5" t="s">
        <v>2</v>
      </c>
      <c r="C4" s="5"/>
      <c r="D4" s="5"/>
      <c r="E4" s="5"/>
      <c r="F4" s="5"/>
      <c r="G4" s="5"/>
      <c r="H4" s="7" t="n">
        <f aca="false">AVERAGE(C28:M28)</f>
        <v>0.0730181818181818</v>
      </c>
    </row>
    <row r="5" customFormat="false" ht="15" hidden="false" customHeight="false" outlineLevel="0" collapsed="false">
      <c r="A5" s="43"/>
      <c r="B5" s="5" t="s">
        <v>3</v>
      </c>
      <c r="C5" s="5"/>
      <c r="D5" s="5"/>
      <c r="E5" s="5"/>
      <c r="F5" s="5"/>
      <c r="G5" s="5"/>
      <c r="H5" s="7" t="n">
        <f aca="false">STDEV(C28:M28)</f>
        <v>0.0291313171065717</v>
      </c>
    </row>
    <row r="6" customFormat="false" ht="15" hidden="false" customHeight="false" outlineLevel="0" collapsed="false">
      <c r="A6" s="43"/>
      <c r="B6" s="5" t="s">
        <v>4</v>
      </c>
      <c r="C6" s="5"/>
      <c r="D6" s="5"/>
      <c r="E6" s="5"/>
      <c r="F6" s="5"/>
      <c r="G6" s="5"/>
      <c r="H6" s="6" t="n">
        <f aca="false">(H4-0.03)/H5</f>
        <v>1.47669882761591</v>
      </c>
    </row>
    <row r="7" customFormat="false" ht="15" hidden="false" customHeight="false" outlineLevel="0" collapsed="false">
      <c r="A7" s="43"/>
      <c r="B7" s="5" t="s">
        <v>5</v>
      </c>
      <c r="C7" s="5"/>
      <c r="D7" s="5"/>
      <c r="E7" s="5"/>
      <c r="F7" s="5"/>
      <c r="G7" s="5"/>
      <c r="H7" s="7" t="n">
        <f aca="false">AVERAGE(D28:I28)</f>
        <v>0.05935</v>
      </c>
    </row>
    <row r="8" customFormat="false" ht="15" hidden="false" customHeight="false" outlineLevel="0" collapsed="false">
      <c r="A8" s="43"/>
      <c r="B8" s="5" t="s">
        <v>6</v>
      </c>
      <c r="C8" s="5"/>
      <c r="D8" s="5"/>
      <c r="E8" s="5"/>
      <c r="F8" s="5"/>
      <c r="G8" s="5"/>
      <c r="H8" s="7" t="n">
        <f aca="false">STDEV(D28:I28)</f>
        <v>0.0245156072737348</v>
      </c>
    </row>
    <row r="9" customFormat="false" ht="15" hidden="false" customHeight="false" outlineLevel="0" collapsed="false">
      <c r="A9" s="43"/>
      <c r="B9" s="5" t="s">
        <v>7</v>
      </c>
      <c r="C9" s="5"/>
      <c r="D9" s="5"/>
      <c r="E9" s="5"/>
      <c r="F9" s="5"/>
      <c r="G9" s="5"/>
      <c r="H9" s="6" t="n">
        <f aca="false">(H7-0.03)/H8</f>
        <v>1.19719653167411</v>
      </c>
    </row>
    <row r="10" customFormat="false" ht="15" hidden="false" customHeight="false" outlineLevel="0" collapsed="false">
      <c r="A10" s="43"/>
      <c r="B10" s="5" t="s">
        <v>8</v>
      </c>
      <c r="C10" s="5"/>
      <c r="D10" s="5"/>
      <c r="E10" s="5"/>
      <c r="F10" s="5"/>
      <c r="G10" s="5"/>
      <c r="H10" s="7" t="n">
        <f aca="false">(C20/M20)^(1/10)-1</f>
        <v>0.023792808968391</v>
      </c>
    </row>
    <row r="11" customFormat="false" ht="15" hidden="false" customHeight="false" outlineLevel="0" collapsed="false">
      <c r="A11" s="43"/>
      <c r="B11" s="5" t="s">
        <v>9</v>
      </c>
      <c r="C11" s="5"/>
      <c r="D11" s="5"/>
      <c r="E11" s="5"/>
      <c r="F11" s="5"/>
      <c r="G11" s="5"/>
      <c r="H11" s="8" t="n">
        <v>-85.9</v>
      </c>
    </row>
    <row r="12" customFormat="false" ht="15" hidden="false" customHeight="false" outlineLevel="0" collapsed="false">
      <c r="A12" s="43"/>
      <c r="B12" s="5" t="s">
        <v>10</v>
      </c>
      <c r="C12" s="5"/>
      <c r="D12" s="5"/>
      <c r="E12" s="5"/>
      <c r="F12" s="5"/>
      <c r="G12" s="5"/>
      <c r="H12" s="9" t="n">
        <f aca="false">SLOPE(C31:M31,C15:M15)*100</f>
        <v>0.620727272727273</v>
      </c>
    </row>
    <row r="13" customFormat="false" ht="15" hidden="false" customHeight="false" outlineLevel="0" collapsed="false">
      <c r="A13" s="43"/>
    </row>
    <row r="15" customFormat="false" ht="15" hidden="false" customHeight="false" outlineLevel="0" collapsed="false">
      <c r="A15" s="186" t="s">
        <v>11</v>
      </c>
      <c r="B15" s="186" t="s">
        <v>12</v>
      </c>
      <c r="C15" s="187" t="n">
        <v>2025</v>
      </c>
      <c r="D15" s="188" t="n">
        <v>2024</v>
      </c>
      <c r="E15" s="189" t="n">
        <v>2023</v>
      </c>
      <c r="F15" s="189" t="n">
        <v>2022</v>
      </c>
      <c r="G15" s="190" t="n">
        <v>2021</v>
      </c>
      <c r="H15" s="187" t="n">
        <v>2020</v>
      </c>
      <c r="I15" s="187" t="n">
        <v>2019</v>
      </c>
      <c r="J15" s="187" t="n">
        <v>2018</v>
      </c>
      <c r="K15" s="187" t="n">
        <v>2017</v>
      </c>
      <c r="L15" s="187" t="n">
        <v>2016</v>
      </c>
      <c r="M15" s="187" t="n">
        <v>2015</v>
      </c>
    </row>
    <row r="16" customFormat="false" ht="15" hidden="false" customHeight="false" outlineLevel="0" collapsed="false">
      <c r="A16" s="191" t="s">
        <v>70</v>
      </c>
      <c r="B16" s="192"/>
      <c r="C16" s="192"/>
      <c r="D16" s="193"/>
      <c r="E16" s="194"/>
      <c r="F16" s="194"/>
      <c r="G16" s="195"/>
      <c r="H16" s="192"/>
      <c r="I16" s="192"/>
      <c r="J16" s="192"/>
      <c r="K16" s="192"/>
      <c r="L16" s="192"/>
      <c r="M16" s="192"/>
    </row>
    <row r="17" customFormat="false" ht="15" hidden="false" customHeight="false" outlineLevel="0" collapsed="false">
      <c r="A17" s="22" t="s">
        <v>14</v>
      </c>
      <c r="B17" s="22" t="s">
        <v>15</v>
      </c>
      <c r="C17" s="124" t="n">
        <v>554424.56</v>
      </c>
      <c r="D17" s="125" t="n">
        <v>545858.6</v>
      </c>
      <c r="E17" s="126" t="n">
        <v>510864.24</v>
      </c>
      <c r="F17" s="126" t="n">
        <v>493092.84</v>
      </c>
      <c r="G17" s="127" t="n">
        <v>495841.96</v>
      </c>
      <c r="H17" s="124" t="n">
        <v>465293.41</v>
      </c>
      <c r="I17" s="124" t="n">
        <v>422312.71</v>
      </c>
      <c r="J17" s="124" t="n">
        <v>381575.68</v>
      </c>
      <c r="K17" s="124" t="n">
        <v>339288.05</v>
      </c>
      <c r="L17" s="124" t="n">
        <v>291798.01</v>
      </c>
      <c r="M17" s="124" t="n">
        <v>260718.03</v>
      </c>
    </row>
    <row r="18" customFormat="false" ht="15" hidden="false" customHeight="false" outlineLevel="0" collapsed="false">
      <c r="A18" s="22" t="s">
        <v>42</v>
      </c>
      <c r="B18" s="22" t="s">
        <v>15</v>
      </c>
      <c r="C18" s="124" t="n">
        <v>377258.69</v>
      </c>
      <c r="D18" s="125" t="n">
        <v>372907.25</v>
      </c>
      <c r="E18" s="126" t="n">
        <v>354353.23</v>
      </c>
      <c r="F18" s="126" t="n">
        <v>347743.59</v>
      </c>
      <c r="G18" s="127" t="n">
        <v>336329.37</v>
      </c>
      <c r="H18" s="124" t="n">
        <v>322251.46</v>
      </c>
      <c r="I18" s="124" t="n">
        <v>296752.96</v>
      </c>
      <c r="J18" s="124" t="n">
        <v>267671.63</v>
      </c>
      <c r="K18" s="124" t="n">
        <v>234316.72</v>
      </c>
      <c r="L18" s="124" t="n">
        <v>191865.59</v>
      </c>
      <c r="M18" s="124" t="n">
        <v>168878.46</v>
      </c>
    </row>
    <row r="19" customFormat="false" ht="15" hidden="false" customHeight="false" outlineLevel="0" collapsed="false">
      <c r="A19" s="22" t="s">
        <v>17</v>
      </c>
      <c r="B19" s="22" t="s">
        <v>15</v>
      </c>
      <c r="C19" s="124" t="n">
        <v>439234.9</v>
      </c>
      <c r="D19" s="125" t="n">
        <v>411343.9</v>
      </c>
      <c r="E19" s="126" t="n">
        <v>386402.44</v>
      </c>
      <c r="F19" s="126" t="n">
        <v>371143.44</v>
      </c>
      <c r="G19" s="127" t="n">
        <v>376700.77</v>
      </c>
      <c r="H19" s="124" t="n">
        <v>359535.94</v>
      </c>
      <c r="I19" s="124" t="n">
        <v>329250.27</v>
      </c>
      <c r="J19" s="124" t="n">
        <v>298334.79</v>
      </c>
      <c r="K19" s="124" t="n">
        <v>269828.08</v>
      </c>
      <c r="L19" s="124" t="n">
        <v>229973.43</v>
      </c>
      <c r="M19" s="124" t="n">
        <v>210431.09</v>
      </c>
    </row>
    <row r="20" customFormat="false" ht="15" hidden="false" customHeight="false" outlineLevel="0" collapsed="false">
      <c r="A20" s="22" t="s">
        <v>18</v>
      </c>
      <c r="B20" s="22" t="s">
        <v>15</v>
      </c>
      <c r="C20" s="124" t="n">
        <v>34418.82</v>
      </c>
      <c r="D20" s="125" t="n">
        <v>31543.57</v>
      </c>
      <c r="E20" s="126" t="n">
        <v>32044.73</v>
      </c>
      <c r="F20" s="126" t="n">
        <v>30755.56</v>
      </c>
      <c r="G20" s="127" t="n">
        <v>29987.33</v>
      </c>
      <c r="H20" s="124" t="n">
        <v>29703.77</v>
      </c>
      <c r="I20" s="124" t="n">
        <v>30499.46</v>
      </c>
      <c r="J20" s="124" t="n">
        <v>28116.66</v>
      </c>
      <c r="K20" s="124" t="n">
        <v>25823.65</v>
      </c>
      <c r="L20" s="124" t="n">
        <v>26523.56</v>
      </c>
      <c r="M20" s="124" t="n">
        <v>27206.66</v>
      </c>
    </row>
    <row r="21" customFormat="false" ht="15" hidden="false" customHeight="false" outlineLevel="0" collapsed="false">
      <c r="A21" s="191" t="s">
        <v>71</v>
      </c>
      <c r="B21" s="192"/>
      <c r="C21" s="192"/>
      <c r="D21" s="193"/>
      <c r="E21" s="194"/>
      <c r="F21" s="194"/>
      <c r="G21" s="195"/>
      <c r="H21" s="192"/>
      <c r="I21" s="192"/>
      <c r="J21" s="192"/>
      <c r="K21" s="192"/>
      <c r="L21" s="192"/>
      <c r="M21" s="196"/>
    </row>
    <row r="22" customFormat="false" ht="15" hidden="false" customHeight="false" outlineLevel="0" collapsed="false">
      <c r="A22" s="22" t="s">
        <v>20</v>
      </c>
      <c r="B22" s="22" t="s">
        <v>15</v>
      </c>
      <c r="C22" s="124" t="n">
        <v>2115.55</v>
      </c>
      <c r="D22" s="125" t="n">
        <v>4021.2</v>
      </c>
      <c r="E22" s="126" t="n">
        <v>2661.03</v>
      </c>
      <c r="F22" s="126" t="n">
        <v>3144.32</v>
      </c>
      <c r="G22" s="127" t="n">
        <v>2921.56</v>
      </c>
      <c r="H22" s="124" t="n">
        <v>2481.41</v>
      </c>
      <c r="I22" s="124" t="n">
        <v>4256.99</v>
      </c>
      <c r="J22" s="124" t="n">
        <v>5199.94</v>
      </c>
      <c r="K22" s="124" t="n">
        <v>4027.69</v>
      </c>
      <c r="L22" s="124" t="n">
        <v>4207.21</v>
      </c>
      <c r="M22" s="124" t="n">
        <v>3138.46</v>
      </c>
    </row>
    <row r="23" customFormat="false" ht="15" hidden="false" customHeight="false" outlineLevel="0" collapsed="false">
      <c r="A23" s="22" t="s">
        <v>21</v>
      </c>
      <c r="B23" s="22" t="s">
        <v>15</v>
      </c>
      <c r="C23" s="124" t="n">
        <v>17702.47</v>
      </c>
      <c r="D23" s="125" t="n">
        <v>15142.09</v>
      </c>
      <c r="E23" s="126" t="n">
        <v>14118.37</v>
      </c>
      <c r="F23" s="126" t="n">
        <v>14443.01</v>
      </c>
      <c r="G23" s="127" t="n">
        <v>11751.22</v>
      </c>
      <c r="H23" s="124" t="n">
        <v>11289.14</v>
      </c>
      <c r="I23" s="124" t="n">
        <v>4844.75</v>
      </c>
      <c r="J23" s="124" t="n">
        <v>4632.22</v>
      </c>
      <c r="K23" s="124" t="n">
        <v>4334.7</v>
      </c>
      <c r="L23" s="124" t="n">
        <v>3565.64</v>
      </c>
      <c r="M23" s="124" t="n">
        <v>8465.93</v>
      </c>
    </row>
    <row r="24" customFormat="false" ht="15" hidden="false" customHeight="false" outlineLevel="0" collapsed="false">
      <c r="A24" s="22" t="s">
        <v>22</v>
      </c>
      <c r="B24" s="22" t="s">
        <v>15</v>
      </c>
      <c r="C24" s="124" t="n">
        <v>3350.33</v>
      </c>
      <c r="D24" s="90" t="n">
        <v>432.64</v>
      </c>
      <c r="E24" s="126" t="n">
        <v>2133.83</v>
      </c>
      <c r="F24" s="126" t="n">
        <v>1752.38</v>
      </c>
      <c r="G24" s="127" t="n">
        <v>1784.3</v>
      </c>
      <c r="H24" s="124" t="n">
        <v>2149.1</v>
      </c>
      <c r="I24" s="124" t="n">
        <v>2508.56</v>
      </c>
      <c r="J24" s="124" t="n">
        <v>2473.21</v>
      </c>
      <c r="K24" s="124" t="n">
        <v>1168.63</v>
      </c>
      <c r="L24" s="124" t="n">
        <v>2435.07</v>
      </c>
      <c r="M24" s="124" t="n">
        <v>3069.42</v>
      </c>
    </row>
    <row r="25" customFormat="false" ht="15" hidden="false" customHeight="false" outlineLevel="0" collapsed="false">
      <c r="A25" s="191" t="s">
        <v>23</v>
      </c>
      <c r="B25" s="192"/>
      <c r="C25" s="192"/>
      <c r="D25" s="193"/>
      <c r="E25" s="194"/>
      <c r="F25" s="194"/>
      <c r="G25" s="195"/>
      <c r="H25" s="192"/>
      <c r="I25" s="192"/>
      <c r="J25" s="192"/>
      <c r="K25" s="192"/>
      <c r="L25" s="192"/>
      <c r="M25" s="196"/>
    </row>
    <row r="26" customFormat="false" ht="15" hidden="false" customHeight="false" outlineLevel="0" collapsed="false">
      <c r="A26" s="22" t="s">
        <v>24</v>
      </c>
      <c r="B26" s="22" t="s">
        <v>25</v>
      </c>
      <c r="C26" s="22" t="n">
        <v>2.51</v>
      </c>
      <c r="D26" s="90" t="n">
        <v>0.32</v>
      </c>
      <c r="E26" s="91" t="n">
        <v>1.66</v>
      </c>
      <c r="F26" s="91" t="n">
        <v>1.42</v>
      </c>
      <c r="G26" s="92" t="n">
        <v>1.5</v>
      </c>
      <c r="H26" s="22" t="n">
        <v>1.81</v>
      </c>
      <c r="I26" s="22" t="n">
        <v>2.11</v>
      </c>
      <c r="J26" s="22" t="n">
        <v>2.13</v>
      </c>
      <c r="K26" s="22" t="n">
        <v>1.11</v>
      </c>
      <c r="L26" s="22" t="n">
        <v>2.66</v>
      </c>
      <c r="M26" s="22" t="n">
        <v>3.35</v>
      </c>
    </row>
    <row r="27" customFormat="false" ht="15" hidden="false" customHeight="false" outlineLevel="0" collapsed="false">
      <c r="A27" s="22" t="s">
        <v>26</v>
      </c>
      <c r="B27" s="22" t="s">
        <v>27</v>
      </c>
      <c r="C27" s="128" t="n">
        <v>0.0061</v>
      </c>
      <c r="D27" s="129" t="n">
        <v>0.0009</v>
      </c>
      <c r="E27" s="130" t="n">
        <v>0.0042</v>
      </c>
      <c r="F27" s="130" t="n">
        <v>0.0036</v>
      </c>
      <c r="G27" s="131" t="n">
        <v>0.0037</v>
      </c>
      <c r="H27" s="128" t="n">
        <v>0.0047</v>
      </c>
      <c r="I27" s="128" t="n">
        <v>0.0062</v>
      </c>
      <c r="J27" s="128" t="n">
        <v>0.0069</v>
      </c>
      <c r="K27" s="128" t="n">
        <v>0.0037</v>
      </c>
      <c r="L27" s="128" t="n">
        <v>0.0088</v>
      </c>
      <c r="M27" s="128" t="n">
        <v>0.0123</v>
      </c>
    </row>
    <row r="28" customFormat="false" ht="15" hidden="false" customHeight="false" outlineLevel="0" collapsed="false">
      <c r="A28" s="22" t="s">
        <v>28</v>
      </c>
      <c r="B28" s="22" t="s">
        <v>27</v>
      </c>
      <c r="C28" s="128" t="n">
        <v>0.1016</v>
      </c>
      <c r="D28" s="129" t="n">
        <v>0.0136</v>
      </c>
      <c r="E28" s="130" t="n">
        <v>0.068</v>
      </c>
      <c r="F28" s="130" t="n">
        <v>0.0577</v>
      </c>
      <c r="G28" s="131" t="n">
        <v>0.0598</v>
      </c>
      <c r="H28" s="128" t="n">
        <v>0.0714</v>
      </c>
      <c r="I28" s="128" t="n">
        <v>0.0856</v>
      </c>
      <c r="J28" s="128" t="n">
        <v>0.0917</v>
      </c>
      <c r="K28" s="128" t="n">
        <v>0.0446</v>
      </c>
      <c r="L28" s="128" t="n">
        <v>0.0906</v>
      </c>
      <c r="M28" s="128" t="n">
        <v>0.1186</v>
      </c>
    </row>
    <row r="29" customFormat="false" ht="15" hidden="false" customHeight="false" outlineLevel="0" collapsed="false">
      <c r="A29" s="191" t="s">
        <v>29</v>
      </c>
      <c r="B29" s="192"/>
      <c r="C29" s="192"/>
      <c r="D29" s="193"/>
      <c r="E29" s="194"/>
      <c r="F29" s="194"/>
      <c r="G29" s="195"/>
      <c r="H29" s="192"/>
      <c r="I29" s="192"/>
      <c r="J29" s="192"/>
      <c r="K29" s="192"/>
      <c r="L29" s="192"/>
      <c r="M29" s="197"/>
    </row>
    <row r="30" customFormat="false" ht="15" hidden="false" customHeight="false" outlineLevel="0" collapsed="false">
      <c r="A30" s="22" t="s">
        <v>33</v>
      </c>
      <c r="B30" s="22" t="s">
        <v>27</v>
      </c>
      <c r="C30" s="128" t="n">
        <v>0.8332</v>
      </c>
      <c r="D30" s="129" t="n">
        <v>0.8549</v>
      </c>
      <c r="E30" s="130" t="n">
        <v>0.8581</v>
      </c>
      <c r="F30" s="130" t="n">
        <v>0.8486</v>
      </c>
      <c r="G30" s="131" t="n">
        <v>0.787</v>
      </c>
      <c r="H30" s="128" t="n">
        <v>0.8026</v>
      </c>
      <c r="I30" s="128" t="n">
        <v>0.8163</v>
      </c>
      <c r="J30" s="128" t="n">
        <v>0.8155</v>
      </c>
      <c r="K30" s="128" t="n">
        <v>0.8212</v>
      </c>
      <c r="L30" s="128" t="n">
        <v>0.8343</v>
      </c>
      <c r="M30" s="128" t="n">
        <v>0.8025</v>
      </c>
    </row>
    <row r="31" customFormat="false" ht="15" hidden="false" customHeight="false" outlineLevel="0" collapsed="false">
      <c r="A31" s="22" t="s">
        <v>30</v>
      </c>
      <c r="B31" s="22" t="s">
        <v>27</v>
      </c>
      <c r="C31" s="128" t="n">
        <v>0.0751</v>
      </c>
      <c r="D31" s="129" t="n">
        <v>0.1482</v>
      </c>
      <c r="E31" s="130" t="n">
        <v>0.0965</v>
      </c>
      <c r="F31" s="130" t="n">
        <v>0.0654</v>
      </c>
      <c r="G31" s="131" t="n">
        <v>0.0481</v>
      </c>
      <c r="H31" s="128" t="n">
        <v>0.031</v>
      </c>
      <c r="I31" s="128" t="n">
        <v>0.0487</v>
      </c>
      <c r="J31" s="128" t="n">
        <v>0.0587</v>
      </c>
      <c r="K31" s="128" t="n">
        <v>0.0599</v>
      </c>
      <c r="L31" s="128" t="n">
        <v>0.0489</v>
      </c>
      <c r="M31" s="128" t="n">
        <v>0.0425</v>
      </c>
    </row>
    <row r="32" customFormat="false" ht="15" hidden="false" customHeight="false" outlineLevel="0" collapsed="false">
      <c r="A32" s="22" t="s">
        <v>32</v>
      </c>
      <c r="B32" s="22" t="s">
        <v>27</v>
      </c>
      <c r="C32" s="128" t="n">
        <v>0.8061</v>
      </c>
      <c r="D32" s="129" t="n">
        <v>0.5968</v>
      </c>
      <c r="E32" s="130" t="n">
        <v>0.8949</v>
      </c>
      <c r="F32" s="130" t="n">
        <v>1.2767</v>
      </c>
      <c r="G32" s="131" t="n">
        <v>1.6355</v>
      </c>
      <c r="H32" s="128" t="n">
        <v>2.4011</v>
      </c>
      <c r="I32" s="128" t="n">
        <v>1.306</v>
      </c>
      <c r="J32" s="128" t="n">
        <v>0.8537</v>
      </c>
      <c r="K32" s="128" t="n">
        <v>0.7255</v>
      </c>
      <c r="L32" s="128" t="n">
        <v>0.6653</v>
      </c>
      <c r="M32" s="128" t="n">
        <v>0.323</v>
      </c>
    </row>
    <row r="33" customFormat="false" ht="15" hidden="false" customHeight="false" outlineLevel="0" collapsed="false">
      <c r="A33" s="191" t="s">
        <v>34</v>
      </c>
      <c r="B33" s="192"/>
      <c r="C33" s="192"/>
      <c r="D33" s="193"/>
      <c r="E33" s="194"/>
      <c r="F33" s="194"/>
      <c r="G33" s="195"/>
      <c r="H33" s="192"/>
      <c r="I33" s="192"/>
      <c r="J33" s="192"/>
      <c r="K33" s="192"/>
      <c r="L33" s="192"/>
      <c r="M33" s="197"/>
    </row>
    <row r="34" customFormat="false" ht="15" hidden="false" customHeight="false" outlineLevel="0" collapsed="false">
      <c r="A34" s="22" t="s">
        <v>43</v>
      </c>
      <c r="B34" s="22" t="s">
        <v>27</v>
      </c>
      <c r="C34" s="128" t="n">
        <v>0.1361</v>
      </c>
      <c r="D34" s="129" t="n">
        <v>0.1164</v>
      </c>
      <c r="E34" s="130" t="n">
        <v>0.1341</v>
      </c>
      <c r="F34" s="130" t="n">
        <v>0.1275</v>
      </c>
      <c r="G34" s="131" t="n">
        <v>0.1386</v>
      </c>
      <c r="H34" s="128" t="n">
        <v>0.1435</v>
      </c>
      <c r="I34" s="128" t="n">
        <v>0.1152</v>
      </c>
      <c r="J34" s="128" t="n">
        <v>0.1238</v>
      </c>
      <c r="K34" s="128" t="n">
        <v>0.1084</v>
      </c>
      <c r="L34" s="128" t="n">
        <v>0.1215</v>
      </c>
      <c r="M34" s="128" t="n">
        <v>0.1152</v>
      </c>
    </row>
    <row r="35" customFormat="false" ht="15" hidden="false" customHeight="false" outlineLevel="0" collapsed="false">
      <c r="A35" s="22" t="s">
        <v>44</v>
      </c>
      <c r="B35" s="22" t="s">
        <v>27</v>
      </c>
      <c r="C35" s="128" t="n">
        <v>0.3956</v>
      </c>
      <c r="D35" s="129" t="n">
        <v>0.3883</v>
      </c>
      <c r="E35" s="130" t="n">
        <v>0.4721</v>
      </c>
      <c r="F35" s="130" t="n">
        <v>0.407</v>
      </c>
      <c r="G35" s="131" t="n">
        <v>0.409</v>
      </c>
      <c r="H35" s="128" t="n">
        <v>0.3998</v>
      </c>
      <c r="I35" s="128" t="n">
        <v>0.3758</v>
      </c>
      <c r="J35" s="128" t="n">
        <v>0.3461</v>
      </c>
      <c r="K35" s="128" t="n">
        <v>0.3496</v>
      </c>
      <c r="L35" s="128" t="n">
        <v>0.3384</v>
      </c>
      <c r="M35" s="128" t="n">
        <v>0.3077</v>
      </c>
    </row>
    <row r="36" customFormat="false" ht="15" hidden="false" customHeight="false" outlineLevel="0" collapsed="false">
      <c r="A36" s="191" t="s">
        <v>52</v>
      </c>
      <c r="B36" s="192"/>
      <c r="C36" s="192"/>
      <c r="D36" s="193"/>
      <c r="E36" s="194"/>
      <c r="F36" s="194"/>
      <c r="G36" s="195"/>
      <c r="H36" s="192"/>
      <c r="I36" s="192"/>
      <c r="J36" s="192"/>
      <c r="K36" s="192"/>
      <c r="L36" s="192"/>
      <c r="M36" s="197"/>
    </row>
    <row r="37" customFormat="false" ht="15" hidden="false" customHeight="false" outlineLevel="0" collapsed="false">
      <c r="A37" s="22" t="s">
        <v>58</v>
      </c>
      <c r="B37" s="22" t="s">
        <v>15</v>
      </c>
      <c r="C37" s="124" t="n">
        <v>28127.54</v>
      </c>
      <c r="D37" s="125" t="n">
        <v>54813.65</v>
      </c>
      <c r="E37" s="126" t="n">
        <v>33899.63</v>
      </c>
      <c r="F37" s="126" t="n">
        <v>22570.29</v>
      </c>
      <c r="G37" s="127" t="n">
        <v>16035.56</v>
      </c>
      <c r="H37" s="124" t="n">
        <v>9939.76</v>
      </c>
      <c r="I37" s="124" t="n">
        <v>14375.29</v>
      </c>
      <c r="J37" s="124" t="n">
        <v>15558.85</v>
      </c>
      <c r="K37" s="124" t="n">
        <v>13878.53</v>
      </c>
      <c r="L37" s="124" t="n">
        <v>9257.79</v>
      </c>
      <c r="M37" s="124" t="n">
        <v>7193.82</v>
      </c>
    </row>
    <row r="38" customFormat="false" ht="15" hidden="false" customHeight="false" outlineLevel="0" collapsed="false">
      <c r="A38" s="22" t="s">
        <v>38</v>
      </c>
      <c r="B38" s="22" t="s">
        <v>27</v>
      </c>
      <c r="C38" s="128" t="n">
        <v>0.0507</v>
      </c>
      <c r="D38" s="129" t="n">
        <v>0.1004</v>
      </c>
      <c r="E38" s="130" t="n">
        <v>0.0664</v>
      </c>
      <c r="F38" s="130" t="n">
        <v>0.0458</v>
      </c>
      <c r="G38" s="131" t="n">
        <v>0.0323</v>
      </c>
      <c r="H38" s="128" t="n">
        <v>0.0214</v>
      </c>
      <c r="I38" s="128" t="n">
        <v>0.034</v>
      </c>
      <c r="J38" s="128" t="n">
        <v>0.0408</v>
      </c>
      <c r="K38" s="128" t="n">
        <v>0.0409</v>
      </c>
      <c r="L38" s="128" t="n">
        <v>0.0317</v>
      </c>
      <c r="M38" s="128" t="n">
        <v>0.0276</v>
      </c>
    </row>
    <row r="39" customFormat="false" ht="15" hidden="false" customHeight="false" outlineLevel="0" collapsed="false">
      <c r="A39" s="22" t="s">
        <v>39</v>
      </c>
      <c r="B39" s="22" t="s">
        <v>27</v>
      </c>
      <c r="C39" s="128" t="n">
        <v>6.7442</v>
      </c>
      <c r="D39" s="129" t="n">
        <v>-0.7972</v>
      </c>
      <c r="E39" s="130" t="n">
        <v>0.2177</v>
      </c>
      <c r="F39" s="130" t="n">
        <v>-0.0179</v>
      </c>
      <c r="G39" s="131" t="n">
        <v>-0.1698</v>
      </c>
      <c r="H39" s="128" t="n">
        <v>-0.1433</v>
      </c>
      <c r="I39" s="128" t="n">
        <v>0.0143</v>
      </c>
      <c r="J39" s="128" t="n">
        <v>1.1163</v>
      </c>
      <c r="K39" s="128" t="n">
        <v>-0.52</v>
      </c>
      <c r="L39" s="22" t="s">
        <v>50</v>
      </c>
      <c r="M39" s="198" t="s">
        <v>73</v>
      </c>
    </row>
    <row r="40" customFormat="false" ht="15" hidden="false" customHeight="false" outlineLevel="0" collapsed="false">
      <c r="A40" s="22" t="s">
        <v>48</v>
      </c>
      <c r="B40" s="22" t="s">
        <v>27</v>
      </c>
      <c r="C40" s="128" t="n">
        <v>0.0911</v>
      </c>
      <c r="D40" s="129" t="n">
        <v>-0.0156</v>
      </c>
      <c r="E40" s="130" t="n">
        <v>0.0419</v>
      </c>
      <c r="F40" s="130" t="n">
        <v>0.0256</v>
      </c>
      <c r="G40" s="131" t="n">
        <v>0.0095</v>
      </c>
      <c r="H40" s="128" t="n">
        <v>-0.0261</v>
      </c>
      <c r="I40" s="128" t="n">
        <v>0.0848</v>
      </c>
      <c r="J40" s="128" t="n">
        <v>0.0888</v>
      </c>
      <c r="K40" s="128" t="n">
        <v>-0.0264</v>
      </c>
      <c r="L40" s="22" t="s">
        <v>50</v>
      </c>
      <c r="M40" s="128" t="n">
        <v>0.1085</v>
      </c>
    </row>
    <row r="47" customFormat="false" ht="15" hidden="false" customHeight="false" outlineLevel="0" collapsed="false">
      <c r="D47" s="132"/>
    </row>
    <row r="49" customFormat="false" ht="15" hidden="false" customHeight="false" outlineLevel="0" collapsed="false">
      <c r="D49" s="133"/>
    </row>
    <row r="50" customFormat="false" ht="15" hidden="false" customHeight="false" outlineLevel="0" collapsed="false">
      <c r="D50" s="133"/>
      <c r="E50" s="133"/>
      <c r="F50" s="133"/>
      <c r="G50" s="133"/>
      <c r="H50" s="133"/>
      <c r="I50" s="133"/>
      <c r="J50" s="133"/>
      <c r="K50" s="133"/>
    </row>
    <row r="51" customFormat="false" ht="15" hidden="false" customHeight="false" outlineLevel="0" collapsed="false">
      <c r="D51" s="133"/>
      <c r="E51" s="133"/>
      <c r="F51" s="133"/>
      <c r="G51" s="133"/>
      <c r="H51" s="133"/>
      <c r="I51" s="133"/>
      <c r="J51" s="133"/>
      <c r="K51" s="133"/>
    </row>
    <row r="52" customFormat="false" ht="15" hidden="false" customHeight="false" outlineLevel="0" collapsed="false">
      <c r="D52" s="133"/>
      <c r="E52" s="133"/>
      <c r="F52" s="133"/>
      <c r="G52" s="133"/>
      <c r="H52" s="133"/>
      <c r="I52" s="133"/>
      <c r="J52" s="133"/>
      <c r="K52" s="133"/>
    </row>
    <row r="53" customFormat="false" ht="15" hidden="false" customHeight="false" outlineLevel="0" collapsed="false">
      <c r="D53" s="133"/>
      <c r="E53" s="133"/>
      <c r="F53" s="133"/>
      <c r="G53" s="133"/>
      <c r="H53" s="133"/>
      <c r="I53" s="133"/>
      <c r="J53" s="133"/>
      <c r="K53" s="133"/>
    </row>
    <row r="55" customFormat="false" ht="15" hidden="false" customHeight="false" outlineLevel="0" collapsed="false">
      <c r="D55" s="133"/>
      <c r="E55" s="133"/>
      <c r="F55" s="133"/>
      <c r="G55" s="133"/>
      <c r="H55" s="133"/>
      <c r="I55" s="133"/>
      <c r="J55" s="133"/>
      <c r="K55" s="133"/>
    </row>
    <row r="56" customFormat="false" ht="15" hidden="false" customHeight="false" outlineLevel="0" collapsed="false">
      <c r="D56" s="133"/>
      <c r="E56" s="133"/>
      <c r="F56" s="133"/>
      <c r="G56" s="133"/>
      <c r="H56" s="133"/>
      <c r="I56" s="133"/>
      <c r="J56" s="133"/>
      <c r="K56" s="133"/>
    </row>
    <row r="57" customFormat="false" ht="15" hidden="false" customHeight="false" outlineLevel="0" collapsed="false">
      <c r="D57" s="133"/>
      <c r="E57" s="133"/>
      <c r="F57" s="133"/>
      <c r="G57" s="133"/>
      <c r="H57" s="133"/>
      <c r="I57" s="133"/>
      <c r="J57" s="133"/>
      <c r="K57" s="133"/>
    </row>
    <row r="59" customFormat="false" ht="15" hidden="false" customHeight="false" outlineLevel="0" collapsed="false">
      <c r="D59" s="96"/>
    </row>
    <row r="60" customFormat="false" ht="15" hidden="false" customHeight="false" outlineLevel="0" collapsed="false">
      <c r="D60" s="96"/>
      <c r="E60" s="96"/>
      <c r="F60" s="96"/>
      <c r="G60" s="96"/>
      <c r="H60" s="96"/>
      <c r="I60" s="96"/>
      <c r="J60" s="96"/>
      <c r="K60" s="96"/>
    </row>
    <row r="61" customFormat="false" ht="15" hidden="false" customHeight="false" outlineLevel="0" collapsed="false">
      <c r="D61" s="96"/>
      <c r="E61" s="96"/>
      <c r="F61" s="96"/>
      <c r="G61" s="96"/>
      <c r="H61" s="96"/>
      <c r="I61" s="96"/>
      <c r="J61" s="96"/>
      <c r="K61" s="96"/>
    </row>
    <row r="62" customFormat="false" ht="15" hidden="false" customHeight="false" outlineLevel="0" collapsed="false">
      <c r="D62" s="96"/>
    </row>
    <row r="63" customFormat="false" ht="15" hidden="false" customHeight="false" outlineLevel="0" collapsed="false">
      <c r="D63" s="96"/>
      <c r="E63" s="96"/>
      <c r="F63" s="96"/>
      <c r="G63" s="96"/>
      <c r="H63" s="96"/>
      <c r="I63" s="96"/>
      <c r="J63" s="96"/>
      <c r="K63" s="96"/>
    </row>
    <row r="64" customFormat="false" ht="15" hidden="false" customHeight="false" outlineLevel="0" collapsed="false">
      <c r="D64" s="96"/>
      <c r="E64" s="96"/>
      <c r="F64" s="96"/>
      <c r="G64" s="96"/>
      <c r="H64" s="96"/>
      <c r="I64" s="96"/>
      <c r="J64" s="96"/>
      <c r="K64" s="96"/>
    </row>
    <row r="65" customFormat="false" ht="15" hidden="false" customHeight="false" outlineLevel="0" collapsed="false">
      <c r="D65" s="96"/>
      <c r="E65" s="96"/>
      <c r="F65" s="96"/>
      <c r="G65" s="96"/>
      <c r="H65" s="96"/>
      <c r="I65" s="96"/>
      <c r="J65" s="96"/>
      <c r="K65" s="96"/>
    </row>
    <row r="66" customFormat="false" ht="15" hidden="false" customHeight="false" outlineLevel="0" collapsed="false">
      <c r="D66" s="96"/>
    </row>
    <row r="67" customFormat="false" ht="15" hidden="false" customHeight="false" outlineLevel="0" collapsed="false">
      <c r="D67" s="96"/>
      <c r="E67" s="96"/>
      <c r="F67" s="96"/>
      <c r="G67" s="96"/>
      <c r="H67" s="96"/>
      <c r="I67" s="96"/>
      <c r="J67" s="96"/>
      <c r="K67" s="96"/>
    </row>
    <row r="68" customFormat="false" ht="15" hidden="false" customHeight="false" outlineLevel="0" collapsed="false">
      <c r="D68" s="96"/>
      <c r="E68" s="96"/>
      <c r="F68" s="96"/>
      <c r="G68" s="96"/>
      <c r="H68" s="96"/>
      <c r="I68" s="96"/>
      <c r="J68" s="96"/>
      <c r="K68" s="96"/>
    </row>
    <row r="69" customFormat="false" ht="15" hidden="false" customHeight="false" outlineLevel="0" collapsed="false">
      <c r="D69" s="133"/>
    </row>
    <row r="70" customFormat="false" ht="15" hidden="false" customHeight="false" outlineLevel="0" collapsed="false">
      <c r="D70" s="96"/>
      <c r="E70" s="133"/>
      <c r="F70" s="133"/>
      <c r="G70" s="133"/>
      <c r="H70" s="133"/>
      <c r="I70" s="133"/>
      <c r="J70" s="133"/>
      <c r="K70" s="133"/>
    </row>
    <row r="71" customFormat="false" ht="15" hidden="false" customHeight="false" outlineLevel="0" collapsed="false">
      <c r="E71" s="96"/>
      <c r="F71" s="96"/>
      <c r="G71" s="96"/>
      <c r="H71" s="96"/>
      <c r="I71" s="96"/>
      <c r="J71" s="96"/>
      <c r="K71" s="96"/>
    </row>
    <row r="72" customFormat="false" ht="15" hidden="false" customHeight="false" outlineLevel="0" collapsed="false">
      <c r="D72" s="96"/>
      <c r="E72" s="96"/>
      <c r="F72" s="96"/>
      <c r="G72" s="96"/>
      <c r="H72" s="96"/>
      <c r="I72" s="96"/>
      <c r="J72" s="96"/>
    </row>
    <row r="73" customFormat="false" ht="15" hidden="false" customHeight="false" outlineLevel="0" collapsed="false">
      <c r="D73" s="96"/>
      <c r="E73" s="96"/>
      <c r="F73" s="96"/>
      <c r="G73" s="96"/>
      <c r="H73" s="96"/>
      <c r="I73" s="96"/>
      <c r="J73" s="96"/>
    </row>
  </sheetData>
  <mergeCells count="12">
    <mergeCell ref="B2:F2"/>
    <mergeCell ref="A3:A13"/>
    <mergeCell ref="B3:H3"/>
    <mergeCell ref="B4:G4"/>
    <mergeCell ref="B5:G5"/>
    <mergeCell ref="B6:G6"/>
    <mergeCell ref="B7:G7"/>
    <mergeCell ref="B8:G8"/>
    <mergeCell ref="B9:G9"/>
    <mergeCell ref="B10:G10"/>
    <mergeCell ref="B11:G11"/>
    <mergeCell ref="B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M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3"/>
  </cols>
  <sheetData>
    <row r="3" customFormat="false" ht="18.55" hidden="false" customHeight="false" outlineLevel="0" collapsed="false">
      <c r="B3" s="75" t="s">
        <v>74</v>
      </c>
      <c r="C3" s="75"/>
      <c r="D3" s="75"/>
      <c r="E3" s="75"/>
      <c r="F3" s="75"/>
    </row>
    <row r="4" customFormat="false" ht="16.15" hidden="false" customHeight="false" outlineLevel="0" collapsed="false">
      <c r="A4" s="43"/>
      <c r="B4" s="199" t="s">
        <v>1</v>
      </c>
      <c r="C4" s="199"/>
      <c r="D4" s="199"/>
      <c r="E4" s="199"/>
      <c r="F4" s="199"/>
      <c r="G4" s="199"/>
      <c r="H4" s="199"/>
    </row>
    <row r="5" customFormat="false" ht="15" hidden="false" customHeight="false" outlineLevel="0" collapsed="false">
      <c r="A5" s="43"/>
      <c r="B5" s="5" t="s">
        <v>2</v>
      </c>
      <c r="C5" s="5"/>
      <c r="D5" s="5"/>
      <c r="E5" s="5"/>
      <c r="F5" s="5"/>
      <c r="G5" s="5"/>
      <c r="H5" s="7" t="n">
        <f aca="false">AVERAGE(C28:M28)</f>
        <v>0.10133</v>
      </c>
    </row>
    <row r="6" customFormat="false" ht="15" hidden="false" customHeight="false" outlineLevel="0" collapsed="false">
      <c r="A6" s="43"/>
      <c r="B6" s="5" t="s">
        <v>3</v>
      </c>
      <c r="C6" s="5"/>
      <c r="D6" s="5"/>
      <c r="E6" s="5"/>
      <c r="F6" s="5"/>
      <c r="G6" s="5"/>
      <c r="H6" s="7" t="n">
        <f aca="false">STDEV(C28:M28)</f>
        <v>0.0520981349634194</v>
      </c>
    </row>
    <row r="7" customFormat="false" ht="15" hidden="false" customHeight="false" outlineLevel="0" collapsed="false">
      <c r="A7" s="43"/>
      <c r="B7" s="5" t="s">
        <v>4</v>
      </c>
      <c r="C7" s="5"/>
      <c r="D7" s="5"/>
      <c r="E7" s="5"/>
      <c r="F7" s="5"/>
      <c r="G7" s="5"/>
      <c r="H7" s="6" t="n">
        <f aca="false">(H5-0.03)/H6</f>
        <v>1.36914690036571</v>
      </c>
    </row>
    <row r="8" customFormat="false" ht="15" hidden="false" customHeight="false" outlineLevel="0" collapsed="false">
      <c r="A8" s="43"/>
      <c r="B8" s="5" t="s">
        <v>5</v>
      </c>
      <c r="C8" s="5"/>
      <c r="D8" s="5"/>
      <c r="E8" s="5"/>
      <c r="F8" s="5"/>
      <c r="G8" s="5"/>
      <c r="H8" s="7" t="n">
        <f aca="false">AVERAGE(D28:I28)</f>
        <v>0.11525</v>
      </c>
    </row>
    <row r="9" customFormat="false" ht="15" hidden="false" customHeight="false" outlineLevel="0" collapsed="false">
      <c r="A9" s="43"/>
      <c r="B9" s="5" t="s">
        <v>6</v>
      </c>
      <c r="C9" s="5"/>
      <c r="D9" s="5"/>
      <c r="E9" s="5"/>
      <c r="F9" s="5"/>
      <c r="G9" s="5"/>
      <c r="H9" s="7" t="n">
        <f aca="false">STDEV(D28:I28)</f>
        <v>0.0308297745693996</v>
      </c>
    </row>
    <row r="10" customFormat="false" ht="15" hidden="false" customHeight="false" outlineLevel="0" collapsed="false">
      <c r="A10" s="43"/>
      <c r="B10" s="5" t="s">
        <v>7</v>
      </c>
      <c r="C10" s="5"/>
      <c r="D10" s="5"/>
      <c r="E10" s="5"/>
      <c r="F10" s="5"/>
      <c r="G10" s="5"/>
      <c r="H10" s="6" t="n">
        <f aca="false">(H8-0.03)/H9</f>
        <v>2.76518402066474</v>
      </c>
    </row>
    <row r="11" customFormat="false" ht="15" hidden="false" customHeight="false" outlineLevel="0" collapsed="false">
      <c r="A11" s="43"/>
      <c r="B11" s="5" t="s">
        <v>8</v>
      </c>
      <c r="C11" s="5"/>
      <c r="D11" s="5"/>
      <c r="E11" s="5"/>
      <c r="F11" s="5"/>
      <c r="G11" s="5"/>
      <c r="H11" s="7" t="n">
        <f aca="false">(C20/L20)^(1/9)-1</f>
        <v>0.119793834420722</v>
      </c>
    </row>
    <row r="12" customFormat="false" ht="15" hidden="false" customHeight="false" outlineLevel="0" collapsed="false">
      <c r="A12" s="43"/>
      <c r="B12" s="5" t="s">
        <v>9</v>
      </c>
      <c r="C12" s="5"/>
      <c r="D12" s="5"/>
      <c r="E12" s="5"/>
      <c r="F12" s="5"/>
      <c r="G12" s="5"/>
      <c r="H12" s="8" t="n">
        <v>-121.1</v>
      </c>
    </row>
    <row r="13" customFormat="false" ht="15" hidden="false" customHeight="false" outlineLevel="0" collapsed="false">
      <c r="A13" s="43"/>
      <c r="B13" s="5" t="s">
        <v>10</v>
      </c>
      <c r="C13" s="5"/>
      <c r="D13" s="5"/>
      <c r="E13" s="5"/>
      <c r="F13" s="5"/>
      <c r="G13" s="5"/>
      <c r="H13" s="9" t="n">
        <f aca="false">SLOPE(C31:M31,C15:M15)*100</f>
        <v>-0.465575757575758</v>
      </c>
    </row>
    <row r="15" customFormat="false" ht="15" hidden="false" customHeight="false" outlineLevel="0" collapsed="false">
      <c r="A15" s="200" t="s">
        <v>11</v>
      </c>
      <c r="B15" s="200" t="s">
        <v>12</v>
      </c>
      <c r="C15" s="201" t="n">
        <v>2025</v>
      </c>
      <c r="D15" s="202" t="n">
        <v>2024</v>
      </c>
      <c r="E15" s="203" t="n">
        <v>2023</v>
      </c>
      <c r="F15" s="203" t="n">
        <v>2022</v>
      </c>
      <c r="G15" s="204" t="n">
        <v>2021</v>
      </c>
      <c r="H15" s="201" t="n">
        <v>2020</v>
      </c>
      <c r="I15" s="201" t="n">
        <v>2019</v>
      </c>
      <c r="J15" s="201" t="n">
        <v>2018</v>
      </c>
      <c r="K15" s="201" t="n">
        <v>2017</v>
      </c>
      <c r="L15" s="201" t="n">
        <v>2016</v>
      </c>
      <c r="M15" s="201" t="n">
        <v>2015</v>
      </c>
    </row>
    <row r="16" customFormat="false" ht="15" hidden="false" customHeight="false" outlineLevel="0" collapsed="false">
      <c r="A16" s="205" t="s">
        <v>70</v>
      </c>
      <c r="B16" s="206"/>
      <c r="C16" s="206"/>
      <c r="D16" s="207"/>
      <c r="E16" s="208"/>
      <c r="F16" s="208"/>
      <c r="G16" s="209"/>
      <c r="H16" s="206"/>
      <c r="I16" s="206"/>
      <c r="J16" s="206"/>
      <c r="K16" s="206"/>
      <c r="L16" s="206"/>
      <c r="M16" s="206"/>
    </row>
    <row r="17" customFormat="false" ht="15" hidden="false" customHeight="false" outlineLevel="0" collapsed="false">
      <c r="A17" s="22" t="s">
        <v>14</v>
      </c>
      <c r="B17" s="22" t="s">
        <v>15</v>
      </c>
      <c r="C17" s="124" t="n">
        <v>1180136.62</v>
      </c>
      <c r="D17" s="125" t="n">
        <v>981203.16</v>
      </c>
      <c r="E17" s="126" t="n">
        <v>814866.57</v>
      </c>
      <c r="F17" s="126" t="n">
        <v>712755.71</v>
      </c>
      <c r="G17" s="127" t="n">
        <v>629481.34</v>
      </c>
      <c r="H17" s="124" t="n">
        <v>565032.07</v>
      </c>
      <c r="I17" s="124" t="n">
        <v>478074.84</v>
      </c>
      <c r="J17" s="124" t="n">
        <v>409744.09</v>
      </c>
      <c r="K17" s="124" t="n">
        <v>368314.62</v>
      </c>
      <c r="L17" s="124" t="n">
        <v>320361.89</v>
      </c>
      <c r="M17" s="22" t="s">
        <v>50</v>
      </c>
    </row>
    <row r="18" customFormat="false" ht="15" hidden="false" customHeight="false" outlineLevel="0" collapsed="false">
      <c r="A18" s="22" t="s">
        <v>42</v>
      </c>
      <c r="B18" s="22" t="s">
        <v>15</v>
      </c>
      <c r="C18" s="124" t="n">
        <v>711406.26</v>
      </c>
      <c r="D18" s="125" t="n">
        <v>629254.27</v>
      </c>
      <c r="E18" s="126" t="n">
        <v>554495.5</v>
      </c>
      <c r="F18" s="126" t="n">
        <v>461884.13</v>
      </c>
      <c r="G18" s="127" t="n">
        <v>376656.43</v>
      </c>
      <c r="H18" s="124" t="n">
        <v>315578.9</v>
      </c>
      <c r="I18" s="124" t="n">
        <v>287034.67</v>
      </c>
      <c r="J18" s="124" t="n">
        <v>270909.51</v>
      </c>
      <c r="K18" s="124" t="n">
        <v>239539.6</v>
      </c>
      <c r="L18" s="124" t="n">
        <v>203011.23</v>
      </c>
      <c r="M18" s="22" t="s">
        <v>50</v>
      </c>
    </row>
    <row r="19" customFormat="false" ht="15" hidden="false" customHeight="false" outlineLevel="0" collapsed="false">
      <c r="A19" s="22" t="s">
        <v>17</v>
      </c>
      <c r="B19" s="22" t="s">
        <v>15</v>
      </c>
      <c r="C19" s="124" t="n">
        <v>895194.94</v>
      </c>
      <c r="D19" s="125" t="n">
        <v>745231.77</v>
      </c>
      <c r="E19" s="126" t="n">
        <v>606296.41</v>
      </c>
      <c r="F19" s="126" t="n">
        <v>510836.52</v>
      </c>
      <c r="G19" s="127" t="n">
        <v>462400.22</v>
      </c>
      <c r="H19" s="124" t="n">
        <v>429343.02</v>
      </c>
      <c r="I19" s="124" t="n">
        <v>359418.89</v>
      </c>
      <c r="J19" s="124" t="n">
        <v>308899.77</v>
      </c>
      <c r="K19" s="124" t="n">
        <v>271605.83</v>
      </c>
      <c r="L19" s="124" t="n">
        <v>247278.5</v>
      </c>
      <c r="M19" s="22" t="s">
        <v>50</v>
      </c>
    </row>
    <row r="20" customFormat="false" ht="15" hidden="false" customHeight="false" outlineLevel="0" collapsed="false">
      <c r="A20" s="22" t="s">
        <v>18</v>
      </c>
      <c r="B20" s="22" t="s">
        <v>15</v>
      </c>
      <c r="C20" s="124" t="n">
        <v>69611.97</v>
      </c>
      <c r="D20" s="125" t="n">
        <v>52605.95</v>
      </c>
      <c r="E20" s="126" t="n">
        <v>46844.04</v>
      </c>
      <c r="F20" s="126" t="n">
        <v>42486.09</v>
      </c>
      <c r="G20" s="127" t="n">
        <v>39453.55</v>
      </c>
      <c r="H20" s="124" t="n">
        <v>38808.04</v>
      </c>
      <c r="I20" s="124" t="n">
        <v>32271.71</v>
      </c>
      <c r="J20" s="124" t="n">
        <v>27377.1</v>
      </c>
      <c r="K20" s="124" t="n">
        <v>24420.31</v>
      </c>
      <c r="L20" s="124" t="n">
        <v>25144.4</v>
      </c>
      <c r="M20" s="22" t="s">
        <v>50</v>
      </c>
    </row>
    <row r="21" customFormat="false" ht="15" hidden="false" customHeight="false" outlineLevel="0" collapsed="false">
      <c r="A21" s="205" t="s">
        <v>71</v>
      </c>
      <c r="B21" s="206"/>
      <c r="C21" s="206"/>
      <c r="D21" s="207"/>
      <c r="E21" s="208"/>
      <c r="F21" s="208"/>
      <c r="G21" s="209"/>
      <c r="H21" s="206"/>
      <c r="I21" s="206"/>
      <c r="J21" s="206"/>
      <c r="K21" s="206"/>
      <c r="L21" s="206"/>
      <c r="M21" s="206"/>
    </row>
    <row r="22" customFormat="false" ht="15" hidden="false" customHeight="false" outlineLevel="0" collapsed="false">
      <c r="A22" s="22" t="s">
        <v>20</v>
      </c>
      <c r="B22" s="22" t="s">
        <v>15</v>
      </c>
      <c r="C22" s="124" t="n">
        <v>9495.7</v>
      </c>
      <c r="D22" s="125" t="n">
        <v>15081.43</v>
      </c>
      <c r="E22" s="126" t="n">
        <v>10019.77</v>
      </c>
      <c r="F22" s="126" t="n">
        <v>6572.6</v>
      </c>
      <c r="G22" s="92" t="n">
        <v>836.88</v>
      </c>
      <c r="H22" s="124" t="n">
        <v>2865.04</v>
      </c>
      <c r="I22" s="124" t="n">
        <v>8368.88</v>
      </c>
      <c r="J22" s="124" t="n">
        <v>9021.49</v>
      </c>
      <c r="K22" s="124" t="n">
        <v>7855.9</v>
      </c>
      <c r="L22" s="124" t="n">
        <v>7144.23</v>
      </c>
      <c r="M22" s="22" t="s">
        <v>50</v>
      </c>
    </row>
    <row r="23" customFormat="false" ht="15" hidden="false" customHeight="false" outlineLevel="0" collapsed="false">
      <c r="A23" s="22" t="s">
        <v>21</v>
      </c>
      <c r="B23" s="22" t="s">
        <v>15</v>
      </c>
      <c r="C23" s="124" t="n">
        <v>7126.15</v>
      </c>
      <c r="D23" s="125" t="n">
        <v>6545.02</v>
      </c>
      <c r="E23" s="126" t="n">
        <v>4897.96</v>
      </c>
      <c r="F23" s="126" t="n">
        <v>4881.74</v>
      </c>
      <c r="G23" s="127" t="n">
        <v>3616.72</v>
      </c>
      <c r="H23" s="124" t="n">
        <v>15458.99</v>
      </c>
      <c r="I23" s="124" t="n">
        <v>10041</v>
      </c>
      <c r="J23" s="124" t="n">
        <v>8237.97</v>
      </c>
      <c r="K23" s="124" t="n">
        <v>8293.92</v>
      </c>
      <c r="L23" s="124" t="n">
        <v>6804.81</v>
      </c>
      <c r="M23" s="22" t="s">
        <v>50</v>
      </c>
    </row>
    <row r="24" customFormat="false" ht="15" hidden="false" customHeight="false" outlineLevel="0" collapsed="false">
      <c r="A24" s="22" t="s">
        <v>22</v>
      </c>
      <c r="B24" s="22" t="s">
        <v>15</v>
      </c>
      <c r="C24" s="124" t="n">
        <v>10795.56</v>
      </c>
      <c r="D24" s="125" t="n">
        <v>7624.52</v>
      </c>
      <c r="E24" s="126" t="n">
        <v>6808.47</v>
      </c>
      <c r="F24" s="126" t="n">
        <v>5321.77</v>
      </c>
      <c r="G24" s="127" t="n">
        <v>3904.55</v>
      </c>
      <c r="H24" s="124" t="n">
        <v>3669.51</v>
      </c>
      <c r="I24" s="124" t="n">
        <v>2143.27</v>
      </c>
      <c r="J24" s="124" t="n">
        <v>3424.06</v>
      </c>
      <c r="K24" s="22" t="n">
        <v>-281.2</v>
      </c>
      <c r="L24" s="124" t="n">
        <v>1334.95</v>
      </c>
      <c r="M24" s="22" t="s">
        <v>50</v>
      </c>
    </row>
    <row r="25" customFormat="false" ht="15" hidden="false" customHeight="false" outlineLevel="0" collapsed="false">
      <c r="A25" s="205" t="s">
        <v>23</v>
      </c>
      <c r="B25" s="206"/>
      <c r="C25" s="206"/>
      <c r="D25" s="207"/>
      <c r="E25" s="208"/>
      <c r="F25" s="208"/>
      <c r="G25" s="209"/>
      <c r="H25" s="206"/>
      <c r="I25" s="206"/>
      <c r="J25" s="206"/>
      <c r="K25" s="206"/>
      <c r="L25" s="206"/>
      <c r="M25" s="206"/>
    </row>
    <row r="26" customFormat="false" ht="15" hidden="false" customHeight="false" outlineLevel="0" collapsed="false">
      <c r="A26" s="22" t="s">
        <v>24</v>
      </c>
      <c r="B26" s="22" t="s">
        <v>25</v>
      </c>
      <c r="C26" s="22" t="n">
        <v>8.3</v>
      </c>
      <c r="D26" s="90" t="n">
        <v>5.86</v>
      </c>
      <c r="E26" s="91" t="n">
        <v>5.89</v>
      </c>
      <c r="F26" s="91" t="n">
        <v>5.18</v>
      </c>
      <c r="G26" s="92" t="n">
        <v>3.8</v>
      </c>
      <c r="H26" s="22" t="n">
        <v>3.57</v>
      </c>
      <c r="I26" s="22" t="n">
        <v>2.08</v>
      </c>
      <c r="J26" s="22" t="n">
        <v>3.33</v>
      </c>
      <c r="K26" s="22" t="n">
        <v>-0.28</v>
      </c>
      <c r="L26" s="22" t="n">
        <v>1.4</v>
      </c>
      <c r="M26" s="22" t="s">
        <v>50</v>
      </c>
    </row>
    <row r="27" customFormat="false" ht="15" hidden="false" customHeight="false" outlineLevel="0" collapsed="false">
      <c r="A27" s="22" t="s">
        <v>26</v>
      </c>
      <c r="B27" s="22" t="s">
        <v>27</v>
      </c>
      <c r="C27" s="128" t="n">
        <v>0.01</v>
      </c>
      <c r="D27" s="129" t="n">
        <v>0.0085</v>
      </c>
      <c r="E27" s="130" t="n">
        <v>0.0089</v>
      </c>
      <c r="F27" s="130" t="n">
        <v>0.0079</v>
      </c>
      <c r="G27" s="131" t="n">
        <v>0.0065</v>
      </c>
      <c r="H27" s="128" t="n">
        <v>0.0065</v>
      </c>
      <c r="I27" s="128" t="n">
        <v>0.0045</v>
      </c>
      <c r="J27" s="128" t="n">
        <v>0.0084</v>
      </c>
      <c r="K27" s="128" t="n">
        <v>-0.0008</v>
      </c>
      <c r="L27" s="128" t="n">
        <v>0.0042</v>
      </c>
      <c r="M27" s="22" t="s">
        <v>50</v>
      </c>
    </row>
    <row r="28" customFormat="false" ht="15" hidden="false" customHeight="false" outlineLevel="0" collapsed="false">
      <c r="A28" s="22" t="s">
        <v>28</v>
      </c>
      <c r="B28" s="22" t="s">
        <v>27</v>
      </c>
      <c r="C28" s="128" t="n">
        <v>0.1551</v>
      </c>
      <c r="D28" s="129" t="n">
        <v>0.1457</v>
      </c>
      <c r="E28" s="130" t="n">
        <v>0.1526</v>
      </c>
      <c r="F28" s="130" t="n">
        <v>0.1253</v>
      </c>
      <c r="G28" s="131" t="n">
        <v>0.0982</v>
      </c>
      <c r="H28" s="128" t="n">
        <v>0.0946</v>
      </c>
      <c r="I28" s="128" t="n">
        <v>0.0751</v>
      </c>
      <c r="J28" s="128" t="n">
        <v>0.1251</v>
      </c>
      <c r="K28" s="128" t="n">
        <v>-0.0115</v>
      </c>
      <c r="L28" s="128" t="n">
        <v>0.0531</v>
      </c>
      <c r="M28" s="22" t="s">
        <v>50</v>
      </c>
    </row>
    <row r="29" customFormat="false" ht="15" hidden="false" customHeight="false" outlineLevel="0" collapsed="false">
      <c r="A29" s="205" t="s">
        <v>29</v>
      </c>
      <c r="B29" s="206"/>
      <c r="C29" s="206"/>
      <c r="D29" s="207"/>
      <c r="E29" s="208"/>
      <c r="F29" s="208"/>
      <c r="G29" s="209"/>
      <c r="H29" s="206"/>
      <c r="I29" s="206"/>
      <c r="J29" s="206"/>
      <c r="K29" s="206"/>
      <c r="L29" s="206"/>
      <c r="M29" s="206"/>
    </row>
    <row r="30" customFormat="false" ht="15" hidden="false" customHeight="false" outlineLevel="0" collapsed="false">
      <c r="A30" s="22" t="s">
        <v>33</v>
      </c>
      <c r="B30" s="22" t="s">
        <v>27</v>
      </c>
      <c r="C30" s="128" t="n">
        <v>0.7253</v>
      </c>
      <c r="D30" s="129" t="n">
        <v>0.7732</v>
      </c>
      <c r="E30" s="130" t="n">
        <v>0.8685</v>
      </c>
      <c r="F30" s="130" t="n">
        <v>0.8479</v>
      </c>
      <c r="G30" s="131" t="n">
        <v>0.7758</v>
      </c>
      <c r="H30" s="128" t="n">
        <v>0.7071</v>
      </c>
      <c r="I30" s="128" t="n">
        <v>0.7621</v>
      </c>
      <c r="J30" s="128" t="n">
        <v>0.8294</v>
      </c>
      <c r="K30" s="128" t="n">
        <v>0.8334</v>
      </c>
      <c r="L30" s="128" t="n">
        <v>0.821</v>
      </c>
      <c r="M30" s="22" t="s">
        <v>50</v>
      </c>
    </row>
    <row r="31" customFormat="false" ht="15" hidden="false" customHeight="false" outlineLevel="0" collapsed="false">
      <c r="A31" s="22" t="s">
        <v>30</v>
      </c>
      <c r="B31" s="22" t="s">
        <v>27</v>
      </c>
      <c r="C31" s="128" t="n">
        <v>0.022</v>
      </c>
      <c r="D31" s="129" t="n">
        <v>0.0436</v>
      </c>
      <c r="E31" s="130" t="n">
        <v>0.0286</v>
      </c>
      <c r="F31" s="130" t="n">
        <v>0.0262</v>
      </c>
      <c r="G31" s="131" t="n">
        <v>0.0305</v>
      </c>
      <c r="H31" s="128" t="n">
        <v>0.0273</v>
      </c>
      <c r="I31" s="128" t="n">
        <v>0.0438</v>
      </c>
      <c r="J31" s="128" t="n">
        <v>0.0546</v>
      </c>
      <c r="K31" s="128" t="n">
        <v>0.0868</v>
      </c>
      <c r="L31" s="128" t="n">
        <v>0.0538</v>
      </c>
      <c r="M31" s="22" t="s">
        <v>50</v>
      </c>
    </row>
    <row r="32" customFormat="false" ht="15" hidden="false" customHeight="false" outlineLevel="0" collapsed="false">
      <c r="A32" s="22" t="s">
        <v>32</v>
      </c>
      <c r="B32" s="22" t="s">
        <v>27</v>
      </c>
      <c r="C32" s="128" t="n">
        <v>1</v>
      </c>
      <c r="D32" s="129" t="n">
        <v>1.0015</v>
      </c>
      <c r="E32" s="130" t="n">
        <v>1.0031</v>
      </c>
      <c r="F32" s="130" t="n">
        <v>1.0013</v>
      </c>
      <c r="G32" s="131" t="n">
        <v>1.0011</v>
      </c>
      <c r="H32" s="128" t="n">
        <v>1.0619</v>
      </c>
      <c r="I32" s="128" t="n">
        <v>1.0001</v>
      </c>
      <c r="J32" s="128" t="n">
        <v>1</v>
      </c>
      <c r="K32" s="128" t="n">
        <v>1.0001</v>
      </c>
      <c r="L32" s="128" t="n">
        <v>1.0697</v>
      </c>
      <c r="M32" s="22" t="s">
        <v>50</v>
      </c>
    </row>
    <row r="33" customFormat="false" ht="15" hidden="false" customHeight="false" outlineLevel="0" collapsed="false">
      <c r="A33" s="205" t="s">
        <v>34</v>
      </c>
      <c r="B33" s="206"/>
      <c r="C33" s="206"/>
      <c r="D33" s="207"/>
      <c r="E33" s="208"/>
      <c r="F33" s="208"/>
      <c r="G33" s="209"/>
      <c r="H33" s="206"/>
      <c r="I33" s="206"/>
      <c r="J33" s="206"/>
      <c r="K33" s="206"/>
      <c r="L33" s="206"/>
      <c r="M33" s="206"/>
    </row>
    <row r="34" customFormat="false" ht="15" hidden="false" customHeight="false" outlineLevel="0" collapsed="false">
      <c r="A34" s="22" t="s">
        <v>43</v>
      </c>
      <c r="B34" s="22" t="s">
        <v>27</v>
      </c>
      <c r="C34" s="128" t="n">
        <v>0.1534</v>
      </c>
      <c r="D34" s="129" t="n">
        <v>0.1377</v>
      </c>
      <c r="E34" s="130" t="n">
        <v>0.1387</v>
      </c>
      <c r="F34" s="130" t="n">
        <v>0.1384</v>
      </c>
      <c r="G34" s="131" t="n">
        <v>0.1423</v>
      </c>
      <c r="H34" s="128" t="n">
        <v>0.1473</v>
      </c>
      <c r="I34" s="128" t="n">
        <v>0.138</v>
      </c>
      <c r="J34" s="128" t="n">
        <v>0.1217</v>
      </c>
      <c r="K34" s="128" t="n">
        <v>0.1234</v>
      </c>
      <c r="L34" s="128" t="n">
        <v>0.1122</v>
      </c>
      <c r="M34" s="22" t="s">
        <v>50</v>
      </c>
    </row>
    <row r="35" customFormat="false" ht="15" hidden="false" customHeight="false" outlineLevel="0" collapsed="false">
      <c r="A35" s="22" t="s">
        <v>44</v>
      </c>
      <c r="B35" s="22" t="s">
        <v>27</v>
      </c>
      <c r="C35" s="128" t="n">
        <v>0.4447</v>
      </c>
      <c r="D35" s="129" t="n">
        <v>0.4605</v>
      </c>
      <c r="E35" s="130" t="n">
        <v>0.4975</v>
      </c>
      <c r="F35" s="130" t="n">
        <v>0.55</v>
      </c>
      <c r="G35" s="131" t="n">
        <v>0.5308</v>
      </c>
      <c r="H35" s="128" t="n">
        <v>0.5427</v>
      </c>
      <c r="I35" s="128" t="n">
        <v>0.4863</v>
      </c>
      <c r="J35" s="128" t="n">
        <v>0.4868</v>
      </c>
      <c r="K35" s="128" t="n">
        <v>0.4948</v>
      </c>
      <c r="L35" s="128" t="n">
        <v>0.53</v>
      </c>
      <c r="M35" s="22" t="s">
        <v>50</v>
      </c>
    </row>
    <row r="36" customFormat="false" ht="15" hidden="false" customHeight="false" outlineLevel="0" collapsed="false">
      <c r="A36" s="205" t="s">
        <v>52</v>
      </c>
      <c r="B36" s="206"/>
      <c r="C36" s="206"/>
      <c r="D36" s="207"/>
      <c r="E36" s="208"/>
      <c r="F36" s="208"/>
      <c r="G36" s="209"/>
      <c r="H36" s="206"/>
      <c r="I36" s="206"/>
      <c r="J36" s="206"/>
      <c r="K36" s="206"/>
      <c r="L36" s="206"/>
      <c r="M36" s="206"/>
    </row>
    <row r="37" customFormat="false" ht="15" hidden="false" customHeight="false" outlineLevel="0" collapsed="false">
      <c r="A37" s="22" t="s">
        <v>58</v>
      </c>
      <c r="B37" s="22" t="s">
        <v>15</v>
      </c>
      <c r="C37" s="124" t="n">
        <v>15643.59</v>
      </c>
      <c r="D37" s="125" t="n">
        <v>27407.76</v>
      </c>
      <c r="E37" s="126" t="n">
        <v>15862.02</v>
      </c>
      <c r="F37" s="126" t="n">
        <v>12121.23</v>
      </c>
      <c r="G37" s="127" t="n">
        <v>11480.11</v>
      </c>
      <c r="H37" s="124" t="n">
        <v>8622.01</v>
      </c>
      <c r="I37" s="124" t="n">
        <v>12560.6</v>
      </c>
      <c r="J37" s="124" t="n">
        <v>14778.27</v>
      </c>
      <c r="K37" s="124" t="n">
        <v>20786.94</v>
      </c>
      <c r="L37" s="124" t="n">
        <v>10921.46</v>
      </c>
      <c r="M37" s="22" t="s">
        <v>50</v>
      </c>
    </row>
    <row r="38" customFormat="false" ht="15" hidden="false" customHeight="false" outlineLevel="0" collapsed="false">
      <c r="A38" s="22" t="s">
        <v>38</v>
      </c>
      <c r="B38" s="22" t="s">
        <v>27</v>
      </c>
      <c r="C38" s="128" t="n">
        <v>0.0133</v>
      </c>
      <c r="D38" s="129" t="n">
        <v>0.0279</v>
      </c>
      <c r="E38" s="130" t="n">
        <v>0.0195</v>
      </c>
      <c r="F38" s="130" t="n">
        <v>0.017</v>
      </c>
      <c r="G38" s="131" t="n">
        <v>0.0182</v>
      </c>
      <c r="H38" s="128" t="n">
        <v>0.0153</v>
      </c>
      <c r="I38" s="128" t="n">
        <v>0.0263</v>
      </c>
      <c r="J38" s="128" t="n">
        <v>0.0361</v>
      </c>
      <c r="K38" s="128" t="n">
        <v>0.0564</v>
      </c>
      <c r="L38" s="128" t="n">
        <v>0.0341</v>
      </c>
      <c r="M38" s="22" t="s">
        <v>50</v>
      </c>
    </row>
    <row r="39" customFormat="false" ht="15" hidden="false" customHeight="false" outlineLevel="0" collapsed="false">
      <c r="A39" s="22" t="s">
        <v>39</v>
      </c>
      <c r="B39" s="22" t="s">
        <v>27</v>
      </c>
      <c r="C39" s="128" t="n">
        <v>0.416</v>
      </c>
      <c r="D39" s="129" t="n">
        <v>0.1199</v>
      </c>
      <c r="E39" s="130" t="n">
        <v>0.2794</v>
      </c>
      <c r="F39" s="130" t="n">
        <v>0.363</v>
      </c>
      <c r="G39" s="92" t="s">
        <v>50</v>
      </c>
      <c r="H39" s="128" t="n">
        <v>0.7122</v>
      </c>
      <c r="I39" s="128" t="n">
        <v>-0.374</v>
      </c>
      <c r="J39" s="22" t="s">
        <v>75</v>
      </c>
      <c r="K39" s="128" t="n">
        <v>-1.2107</v>
      </c>
      <c r="L39" s="22" t="s">
        <v>50</v>
      </c>
      <c r="M39" s="22" t="s">
        <v>50</v>
      </c>
    </row>
    <row r="40" customFormat="false" ht="15" hidden="false" customHeight="false" outlineLevel="0" collapsed="false">
      <c r="A40" s="22" t="s">
        <v>48</v>
      </c>
      <c r="B40" s="22" t="s">
        <v>27</v>
      </c>
      <c r="C40" s="128" t="n">
        <v>0.3233</v>
      </c>
      <c r="D40" s="129" t="n">
        <v>0.123</v>
      </c>
      <c r="E40" s="130" t="n">
        <v>0.1026</v>
      </c>
      <c r="F40" s="130" t="n">
        <v>0.0769</v>
      </c>
      <c r="G40" s="92" t="s">
        <v>50</v>
      </c>
      <c r="H40" s="128" t="n">
        <v>0.2025</v>
      </c>
      <c r="I40" s="128" t="n">
        <v>0.1788</v>
      </c>
      <c r="J40" s="128" t="n">
        <v>0.1211</v>
      </c>
      <c r="K40" s="128" t="n">
        <v>-0.0288</v>
      </c>
      <c r="L40" s="22" t="s">
        <v>50</v>
      </c>
      <c r="M40" s="22" t="s">
        <v>50</v>
      </c>
    </row>
    <row r="47" customFormat="false" ht="15" hidden="false" customHeight="false" outlineLevel="0" collapsed="false">
      <c r="B47" s="133"/>
      <c r="C47" s="133"/>
      <c r="D47" s="133"/>
      <c r="E47" s="133"/>
      <c r="F47" s="133"/>
      <c r="H47" s="133"/>
      <c r="I47" s="133"/>
      <c r="J47" s="133"/>
      <c r="K47" s="133"/>
      <c r="L47" s="133"/>
    </row>
    <row r="48" customFormat="false" ht="15" hidden="false" customHeight="false" outlineLevel="0" collapsed="false">
      <c r="B48" s="133"/>
      <c r="C48" s="133"/>
      <c r="D48" s="133"/>
      <c r="E48" s="133"/>
      <c r="F48" s="133"/>
      <c r="H48" s="133"/>
      <c r="I48" s="133"/>
      <c r="J48" s="133"/>
      <c r="K48" s="133"/>
      <c r="L48" s="133"/>
    </row>
    <row r="49" customFormat="false" ht="15" hidden="false" customHeight="false" outlineLevel="0" collapsed="false">
      <c r="B49" s="133"/>
      <c r="C49" s="133"/>
      <c r="D49" s="133"/>
      <c r="E49" s="133"/>
      <c r="F49" s="133"/>
      <c r="H49" s="133"/>
      <c r="I49" s="133"/>
      <c r="J49" s="133"/>
      <c r="K49" s="133"/>
      <c r="L49" s="133"/>
    </row>
    <row r="50" customFormat="false" ht="15" hidden="false" customHeight="false" outlineLevel="0" collapsed="false">
      <c r="B50" s="133"/>
      <c r="C50" s="133"/>
      <c r="D50" s="133"/>
      <c r="E50" s="133"/>
      <c r="F50" s="133"/>
      <c r="H50" s="133"/>
      <c r="I50" s="133"/>
      <c r="J50" s="133"/>
      <c r="K50" s="133"/>
      <c r="L50" s="133"/>
    </row>
    <row r="52" customFormat="false" ht="15" hidden="false" customHeight="false" outlineLevel="0" collapsed="false">
      <c r="B52" s="133"/>
      <c r="C52" s="133"/>
      <c r="D52" s="133"/>
      <c r="E52" s="133"/>
      <c r="H52" s="133"/>
      <c r="I52" s="133"/>
      <c r="J52" s="133"/>
      <c r="K52" s="133"/>
      <c r="L52" s="133"/>
    </row>
    <row r="53" customFormat="false" ht="15" hidden="false" customHeight="false" outlineLevel="0" collapsed="false">
      <c r="B53" s="133"/>
      <c r="C53" s="133"/>
      <c r="D53" s="133"/>
      <c r="E53" s="133"/>
      <c r="F53" s="133"/>
      <c r="H53" s="133"/>
      <c r="I53" s="133"/>
      <c r="J53" s="133"/>
      <c r="K53" s="133"/>
      <c r="L53" s="133"/>
    </row>
    <row r="54" customFormat="false" ht="15" hidden="false" customHeight="false" outlineLevel="0" collapsed="false">
      <c r="B54" s="133"/>
      <c r="C54" s="133"/>
      <c r="D54" s="133"/>
      <c r="E54" s="133"/>
      <c r="F54" s="133"/>
      <c r="H54" s="133"/>
      <c r="I54" s="133"/>
      <c r="J54" s="133"/>
      <c r="L54" s="133"/>
    </row>
    <row r="57" customFormat="false" ht="15" hidden="false" customHeight="false" outlineLevel="0" collapsed="false">
      <c r="B57" s="96"/>
      <c r="C57" s="96"/>
      <c r="D57" s="96"/>
      <c r="E57" s="96"/>
      <c r="F57" s="96"/>
      <c r="H57" s="96"/>
      <c r="I57" s="96"/>
      <c r="J57" s="96"/>
      <c r="K57" s="96"/>
      <c r="L57" s="96"/>
    </row>
    <row r="58" customFormat="false" ht="15" hidden="false" customHeight="false" outlineLevel="0" collapsed="false">
      <c r="B58" s="96"/>
      <c r="C58" s="96"/>
      <c r="D58" s="96"/>
      <c r="E58" s="96"/>
      <c r="F58" s="96"/>
      <c r="H58" s="96"/>
      <c r="I58" s="96"/>
      <c r="J58" s="96"/>
      <c r="K58" s="96"/>
      <c r="L58" s="96"/>
    </row>
    <row r="60" customFormat="false" ht="15" hidden="false" customHeight="false" outlineLevel="0" collapsed="false">
      <c r="B60" s="96"/>
      <c r="C60" s="96"/>
      <c r="D60" s="96"/>
      <c r="E60" s="96"/>
      <c r="F60" s="96"/>
      <c r="H60" s="96"/>
      <c r="I60" s="96"/>
      <c r="J60" s="96"/>
      <c r="K60" s="96"/>
      <c r="L60" s="96"/>
    </row>
    <row r="61" customFormat="false" ht="15" hidden="false" customHeight="false" outlineLevel="0" collapsed="false">
      <c r="B61" s="96"/>
      <c r="C61" s="96"/>
      <c r="D61" s="96"/>
      <c r="E61" s="96"/>
      <c r="F61" s="96"/>
      <c r="H61" s="96"/>
      <c r="I61" s="96"/>
      <c r="J61" s="96"/>
      <c r="K61" s="96"/>
      <c r="L61" s="96"/>
    </row>
    <row r="62" customFormat="false" ht="15" hidden="false" customHeight="false" outlineLevel="0" collapsed="false">
      <c r="B62" s="96"/>
      <c r="C62" s="96"/>
      <c r="D62" s="96"/>
      <c r="E62" s="96"/>
      <c r="F62" s="96"/>
      <c r="H62" s="96"/>
      <c r="I62" s="96"/>
      <c r="J62" s="96"/>
      <c r="K62" s="96"/>
      <c r="L62" s="96"/>
    </row>
    <row r="64" customFormat="false" ht="15" hidden="false" customHeight="false" outlineLevel="0" collapsed="false">
      <c r="B64" s="96"/>
      <c r="C64" s="96"/>
      <c r="D64" s="96"/>
      <c r="E64" s="96"/>
      <c r="F64" s="96"/>
      <c r="H64" s="96"/>
      <c r="I64" s="96"/>
      <c r="J64" s="96"/>
      <c r="K64" s="96"/>
      <c r="L64" s="96"/>
    </row>
    <row r="65" customFormat="false" ht="15" hidden="false" customHeight="false" outlineLevel="0" collapsed="false">
      <c r="B65" s="96"/>
      <c r="C65" s="96"/>
      <c r="D65" s="96"/>
      <c r="E65" s="96"/>
      <c r="F65" s="96"/>
      <c r="H65" s="96"/>
      <c r="I65" s="96"/>
      <c r="J65" s="96"/>
      <c r="K65" s="96"/>
      <c r="L65" s="96"/>
    </row>
    <row r="67" customFormat="false" ht="15" hidden="false" customHeight="false" outlineLevel="0" collapsed="false">
      <c r="B67" s="133"/>
      <c r="C67" s="133"/>
      <c r="D67" s="133"/>
      <c r="E67" s="133"/>
      <c r="F67" s="133"/>
      <c r="H67" s="133"/>
      <c r="I67" s="133"/>
      <c r="J67" s="133"/>
      <c r="K67" s="133"/>
      <c r="L67" s="133"/>
    </row>
    <row r="68" customFormat="false" ht="15" hidden="false" customHeight="false" outlineLevel="0" collapsed="false">
      <c r="B68" s="96"/>
      <c r="C68" s="96"/>
      <c r="D68" s="96"/>
      <c r="E68" s="96"/>
      <c r="F68" s="96"/>
      <c r="H68" s="96"/>
      <c r="I68" s="96"/>
      <c r="J68" s="96"/>
      <c r="K68" s="96"/>
      <c r="L68" s="96"/>
    </row>
    <row r="69" customFormat="false" ht="15" hidden="false" customHeight="false" outlineLevel="0" collapsed="false">
      <c r="B69" s="96"/>
      <c r="C69" s="96"/>
      <c r="D69" s="96"/>
      <c r="E69" s="96"/>
      <c r="H69" s="96"/>
      <c r="I69" s="96"/>
      <c r="K69" s="96"/>
    </row>
    <row r="70" customFormat="false" ht="15" hidden="false" customHeight="false" outlineLevel="0" collapsed="false">
      <c r="B70" s="96"/>
      <c r="C70" s="96"/>
      <c r="D70" s="96"/>
      <c r="E70" s="96"/>
      <c r="H70" s="96"/>
      <c r="I70" s="96"/>
      <c r="J70" s="96"/>
      <c r="K70" s="96"/>
    </row>
  </sheetData>
  <mergeCells count="12">
    <mergeCell ref="B3:F3"/>
    <mergeCell ref="A4:A13"/>
    <mergeCell ref="B4:H4"/>
    <mergeCell ref="B5:G5"/>
    <mergeCell ref="B6:G6"/>
    <mergeCell ref="B7:G7"/>
    <mergeCell ref="B8:G8"/>
    <mergeCell ref="B9:G9"/>
    <mergeCell ref="B10:G10"/>
    <mergeCell ref="B11:G11"/>
    <mergeCell ref="B12:G12"/>
    <mergeCell ref="B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2026-07-25T21:26:49Z</dcterms:created>
  <dc:creator>openpyxl</dc:creator>
  <dc:description/>
  <dc:language>en-US</dc:language>
  <cp:lastModifiedBy/>
  <dcterms:modified xsi:type="dcterms:W3CDTF">2026-07-30T18:30:16Z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